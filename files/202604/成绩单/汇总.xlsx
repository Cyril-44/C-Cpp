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cyril\code\files\202604\成绩单\"/>
    </mc:Choice>
  </mc:AlternateContent>
  <xr:revisionPtr revIDLastSave="0" documentId="13_ncr:1_{FBFCA9FC-A9B2-44B8-9186-A26DE01ECEBD}" xr6:coauthVersionLast="47" xr6:coauthVersionMax="47" xr10:uidLastSave="{00000000-0000-0000-0000-000000000000}"/>
  <bookViews>
    <workbookView xWindow="4104" yWindow="2244" windowWidth="23040" windowHeight="14100" activeTab="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9" l="1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G111" i="9"/>
  <c r="AG112" i="9"/>
  <c r="AG113" i="9"/>
  <c r="AG114" i="9"/>
  <c r="AG115" i="9"/>
  <c r="AG116" i="9"/>
  <c r="AG117" i="9"/>
  <c r="AG118" i="9"/>
  <c r="AG119" i="9"/>
  <c r="AG120" i="9"/>
  <c r="AG121" i="9"/>
  <c r="AG122" i="9"/>
  <c r="AG123" i="9"/>
  <c r="AG124" i="9"/>
  <c r="AG125" i="9"/>
  <c r="AG126" i="9"/>
  <c r="AG127" i="9"/>
  <c r="AG128" i="9"/>
  <c r="AG129" i="9"/>
  <c r="AG130" i="9"/>
  <c r="AG131" i="9"/>
  <c r="AG132" i="9"/>
  <c r="AG133" i="9"/>
  <c r="AG134" i="9"/>
  <c r="AG135" i="9"/>
  <c r="AG136" i="9"/>
  <c r="AG137" i="9"/>
  <c r="AG138" i="9"/>
  <c r="AG139" i="9"/>
  <c r="AG140" i="9"/>
  <c r="AG141" i="9"/>
  <c r="AG142" i="9"/>
  <c r="AG143" i="9"/>
  <c r="AG144" i="9"/>
  <c r="AG145" i="9"/>
  <c r="AG146" i="9"/>
  <c r="AG147" i="9"/>
  <c r="AG148" i="9"/>
  <c r="AG149" i="9"/>
  <c r="AG150" i="9"/>
  <c r="AG151" i="9"/>
  <c r="AG152" i="9"/>
  <c r="AG153" i="9"/>
  <c r="AG154" i="9"/>
  <c r="AG155" i="9"/>
  <c r="AG156" i="9"/>
  <c r="AG157" i="9"/>
  <c r="AG158" i="9"/>
  <c r="AG159" i="9"/>
  <c r="AG160" i="9"/>
  <c r="AG161" i="9"/>
  <c r="AG162" i="9"/>
  <c r="AG163" i="9"/>
  <c r="AG164" i="9"/>
  <c r="AG165" i="9"/>
  <c r="AG166" i="9"/>
  <c r="AG4" i="9"/>
  <c r="AF5" i="9" a="1"/>
  <c r="AF5" i="9" s="1"/>
  <c r="AF6" i="9" a="1"/>
  <c r="AF6" i="9"/>
  <c r="AF7" i="9" a="1"/>
  <c r="AF7" i="9"/>
  <c r="AF8" i="9" a="1"/>
  <c r="AF8" i="9"/>
  <c r="AF9" i="9" a="1"/>
  <c r="AF9" i="9" s="1"/>
  <c r="AF10" i="9" a="1"/>
  <c r="AF10" i="9" s="1"/>
  <c r="AF11" i="9" a="1"/>
  <c r="AF11" i="9"/>
  <c r="AF12" i="9" a="1"/>
  <c r="AF12" i="9"/>
  <c r="AF13" i="9" a="1"/>
  <c r="AF13" i="9"/>
  <c r="AF14" i="9" a="1"/>
  <c r="AF14" i="9"/>
  <c r="AF15" i="9" a="1"/>
  <c r="AF15" i="9" s="1"/>
  <c r="AF16" i="9" a="1"/>
  <c r="AF16" i="9"/>
  <c r="AF17" i="9" a="1"/>
  <c r="AF17" i="9" s="1"/>
  <c r="AF18" i="9" a="1"/>
  <c r="AF18" i="9"/>
  <c r="AF19" i="9" a="1"/>
  <c r="AF19" i="9"/>
  <c r="AF20" i="9" a="1"/>
  <c r="AF20" i="9"/>
  <c r="AF21" i="9" a="1"/>
  <c r="AF21" i="9" s="1"/>
  <c r="AF22" i="9" a="1"/>
  <c r="AF22" i="9" s="1"/>
  <c r="AF23" i="9" a="1"/>
  <c r="AF23" i="9" s="1"/>
  <c r="AF24" i="9" a="1"/>
  <c r="AF24" i="9"/>
  <c r="AF25" i="9" a="1"/>
  <c r="AF25" i="9"/>
  <c r="AF26" i="9" a="1"/>
  <c r="AF26" i="9"/>
  <c r="AF27" i="9" a="1"/>
  <c r="AF27" i="9" s="1"/>
  <c r="AF28" i="9" a="1"/>
  <c r="AF28" i="9"/>
  <c r="AF29" i="9" a="1"/>
  <c r="AF29" i="9" s="1"/>
  <c r="AF30" i="9" a="1"/>
  <c r="AF30" i="9"/>
  <c r="AF31" i="9" a="1"/>
  <c r="AF31" i="9"/>
  <c r="AF32" i="9" a="1"/>
  <c r="AF32" i="9"/>
  <c r="AF33" i="9" a="1"/>
  <c r="AF33" i="9" s="1"/>
  <c r="AF34" i="9" a="1"/>
  <c r="AF34" i="9" s="1"/>
  <c r="AF35" i="9" a="1"/>
  <c r="AF35" i="9"/>
  <c r="AF36" i="9" a="1"/>
  <c r="AF36" i="9"/>
  <c r="AF37" i="9" a="1"/>
  <c r="AF37" i="9"/>
  <c r="AF38" i="9" a="1"/>
  <c r="AF38" i="9"/>
  <c r="AF39" i="9" a="1"/>
  <c r="AF39" i="9" s="1"/>
  <c r="AF40" i="9" a="1"/>
  <c r="AF40" i="9"/>
  <c r="AF41" i="9" a="1"/>
  <c r="AF41" i="9" s="1"/>
  <c r="AF42" i="9" a="1"/>
  <c r="AF42" i="9"/>
  <c r="AF43" i="9" a="1"/>
  <c r="AF43" i="9"/>
  <c r="AF44" i="9" a="1"/>
  <c r="AF44" i="9"/>
  <c r="AF45" i="9" a="1"/>
  <c r="AF45" i="9" s="1"/>
  <c r="AF46" i="9" a="1"/>
  <c r="AF46" i="9" s="1"/>
  <c r="AF47" i="9" a="1"/>
  <c r="AF47" i="9"/>
  <c r="AF48" i="9" a="1"/>
  <c r="AF48" i="9"/>
  <c r="AF49" i="9" a="1"/>
  <c r="AF49" i="9"/>
  <c r="AF50" i="9" a="1"/>
  <c r="AF50" i="9"/>
  <c r="AF51" i="9" a="1"/>
  <c r="AF51" i="9" s="1"/>
  <c r="AF52" i="9" a="1"/>
  <c r="AF52" i="9"/>
  <c r="AF53" i="9" a="1"/>
  <c r="AF53" i="9" s="1"/>
  <c r="AF54" i="9" a="1"/>
  <c r="AF54" i="9"/>
  <c r="AF55" i="9" a="1"/>
  <c r="AF55" i="9"/>
  <c r="AF56" i="9" a="1"/>
  <c r="AF56" i="9"/>
  <c r="AF57" i="9" a="1"/>
  <c r="AF57" i="9" s="1"/>
  <c r="AF58" i="9" a="1"/>
  <c r="AF58" i="9" s="1"/>
  <c r="AF59" i="9" a="1"/>
  <c r="AF59" i="9"/>
  <c r="AF60" i="9" a="1"/>
  <c r="AF60" i="9"/>
  <c r="AF61" i="9" a="1"/>
  <c r="AF61" i="9"/>
  <c r="AF62" i="9" a="1"/>
  <c r="AF62" i="9"/>
  <c r="AF63" i="9" a="1"/>
  <c r="AF63" i="9" s="1"/>
  <c r="AF64" i="9" a="1"/>
  <c r="AF64" i="9"/>
  <c r="AF65" i="9" a="1"/>
  <c r="AF65" i="9" s="1"/>
  <c r="AF66" i="9" a="1"/>
  <c r="AF66" i="9"/>
  <c r="AF67" i="9" a="1"/>
  <c r="AF67" i="9"/>
  <c r="AF68" i="9" a="1"/>
  <c r="AF68" i="9"/>
  <c r="AF69" i="9" a="1"/>
  <c r="AF69" i="9" s="1"/>
  <c r="AF70" i="9" a="1"/>
  <c r="AF70" i="9" s="1"/>
  <c r="AF71" i="9" a="1"/>
  <c r="AF71" i="9"/>
  <c r="AF72" i="9" a="1"/>
  <c r="AF72" i="9"/>
  <c r="AF73" i="9" a="1"/>
  <c r="AF73" i="9"/>
  <c r="AF74" i="9" a="1"/>
  <c r="AF74" i="9"/>
  <c r="AF75" i="9" a="1"/>
  <c r="AF75" i="9" s="1"/>
  <c r="AF76" i="9" a="1"/>
  <c r="AF76" i="9"/>
  <c r="AF77" i="9" a="1"/>
  <c r="AF77" i="9" s="1"/>
  <c r="AF78" i="9" a="1"/>
  <c r="AF78" i="9"/>
  <c r="AF79" i="9" a="1"/>
  <c r="AF79" i="9"/>
  <c r="AF80" i="9" a="1"/>
  <c r="AF80" i="9"/>
  <c r="AF81" i="9" a="1"/>
  <c r="AF81" i="9" s="1"/>
  <c r="AF82" i="9" a="1"/>
  <c r="AF82" i="9" s="1"/>
  <c r="AF83" i="9" a="1"/>
  <c r="AF83" i="9"/>
  <c r="AF84" i="9" a="1"/>
  <c r="AF84" i="9"/>
  <c r="AF85" i="9" a="1"/>
  <c r="AF85" i="9"/>
  <c r="AF86" i="9" a="1"/>
  <c r="AF86" i="9"/>
  <c r="AF87" i="9" a="1"/>
  <c r="AF87" i="9" s="1"/>
  <c r="AF88" i="9" a="1"/>
  <c r="AF88" i="9"/>
  <c r="AF89" i="9" a="1"/>
  <c r="AF89" i="9" s="1"/>
  <c r="AF90" i="9" a="1"/>
  <c r="AF90" i="9"/>
  <c r="AF91" i="9" a="1"/>
  <c r="AF91" i="9"/>
  <c r="AF92" i="9" a="1"/>
  <c r="AF92" i="9"/>
  <c r="AF93" i="9" a="1"/>
  <c r="AF93" i="9" s="1"/>
  <c r="AF94" i="9" a="1"/>
  <c r="AF94" i="9" s="1"/>
  <c r="AF95" i="9" a="1"/>
  <c r="AF95" i="9"/>
  <c r="AF96" i="9" a="1"/>
  <c r="AF96" i="9"/>
  <c r="AF97" i="9" a="1"/>
  <c r="AF97" i="9"/>
  <c r="AF98" i="9" a="1"/>
  <c r="AF98" i="9"/>
  <c r="AF99" i="9" a="1"/>
  <c r="AF99" i="9" s="1"/>
  <c r="AF100" i="9" a="1"/>
  <c r="AF100" i="9"/>
  <c r="AF101" i="9" a="1"/>
  <c r="AF101" i="9" s="1"/>
  <c r="AF102" i="9" a="1"/>
  <c r="AF102" i="9"/>
  <c r="AF103" i="9" a="1"/>
  <c r="AF103" i="9"/>
  <c r="AF104" i="9" a="1"/>
  <c r="AF104" i="9"/>
  <c r="AF105" i="9" a="1"/>
  <c r="AF105" i="9" s="1"/>
  <c r="AF106" i="9" a="1"/>
  <c r="AF106" i="9" s="1"/>
  <c r="AF107" i="9" a="1"/>
  <c r="AF107" i="9"/>
  <c r="AF108" i="9" a="1"/>
  <c r="AF108" i="9"/>
  <c r="AF109" i="9" a="1"/>
  <c r="AF109" i="9"/>
  <c r="AF110" i="9" a="1"/>
  <c r="AF110" i="9"/>
  <c r="AF111" i="9" a="1"/>
  <c r="AF111" i="9" s="1"/>
  <c r="AF112" i="9" a="1"/>
  <c r="AF112" i="9"/>
  <c r="AF113" i="9" a="1"/>
  <c r="AF113" i="9" s="1"/>
  <c r="AF114" i="9" a="1"/>
  <c r="AF114" i="9"/>
  <c r="AF115" i="9" a="1"/>
  <c r="AF115" i="9"/>
  <c r="AF116" i="9" a="1"/>
  <c r="AF116" i="9"/>
  <c r="AF117" i="9" a="1"/>
  <c r="AF117" i="9" s="1"/>
  <c r="AF118" i="9" a="1"/>
  <c r="AF118" i="9" s="1"/>
  <c r="AF119" i="9" a="1"/>
  <c r="AF119" i="9"/>
  <c r="AF120" i="9" a="1"/>
  <c r="AF120" i="9"/>
  <c r="AF121" i="9" a="1"/>
  <c r="AF121" i="9"/>
  <c r="AF122" i="9" a="1"/>
  <c r="AF122" i="9"/>
  <c r="AF123" i="9" a="1"/>
  <c r="AF123" i="9" s="1"/>
  <c r="AF124" i="9" a="1"/>
  <c r="AF124" i="9"/>
  <c r="AF125" i="9" a="1"/>
  <c r="AF125" i="9" s="1"/>
  <c r="AF126" i="9" a="1"/>
  <c r="AF126" i="9"/>
  <c r="AF127" i="9" a="1"/>
  <c r="AF127" i="9"/>
  <c r="AF128" i="9" a="1"/>
  <c r="AF128" i="9"/>
  <c r="AF129" i="9" a="1"/>
  <c r="AF129" i="9" s="1"/>
  <c r="AF130" i="9" a="1"/>
  <c r="AF130" i="9" s="1"/>
  <c r="AF131" i="9" a="1"/>
  <c r="AF131" i="9"/>
  <c r="AF132" i="9" a="1"/>
  <c r="AF132" i="9"/>
  <c r="AF133" i="9" a="1"/>
  <c r="AF133" i="9"/>
  <c r="AF134" i="9" a="1"/>
  <c r="AF134" i="9"/>
  <c r="AF135" i="9" a="1"/>
  <c r="AF135" i="9" s="1"/>
  <c r="AF136" i="9" a="1"/>
  <c r="AF136" i="9"/>
  <c r="AF137" i="9" a="1"/>
  <c r="AF137" i="9" s="1"/>
  <c r="AF138" i="9" a="1"/>
  <c r="AF138" i="9"/>
  <c r="AF139" i="9" a="1"/>
  <c r="AF139" i="9"/>
  <c r="AF140" i="9" a="1"/>
  <c r="AF140" i="9"/>
  <c r="AF141" i="9" a="1"/>
  <c r="AF141" i="9" s="1"/>
  <c r="AF142" i="9" a="1"/>
  <c r="AF142" i="9" s="1"/>
  <c r="AF143" i="9" a="1"/>
  <c r="AF143" i="9"/>
  <c r="AF144" i="9" a="1"/>
  <c r="AF144" i="9"/>
  <c r="AF145" i="9" a="1"/>
  <c r="AF145" i="9"/>
  <c r="AF146" i="9" a="1"/>
  <c r="AF146" i="9"/>
  <c r="AF147" i="9" a="1"/>
  <c r="AF147" i="9" s="1"/>
  <c r="AF148" i="9" a="1"/>
  <c r="AF148" i="9"/>
  <c r="AF149" i="9" a="1"/>
  <c r="AF149" i="9" s="1"/>
  <c r="AF150" i="9" a="1"/>
  <c r="AF150" i="9"/>
  <c r="AF151" i="9" a="1"/>
  <c r="AF151" i="9"/>
  <c r="AF152" i="9" a="1"/>
  <c r="AF152" i="9"/>
  <c r="AF153" i="9" a="1"/>
  <c r="AF153" i="9" s="1"/>
  <c r="AF154" i="9" a="1"/>
  <c r="AF154" i="9" s="1"/>
  <c r="AF155" i="9" a="1"/>
  <c r="AF155" i="9"/>
  <c r="AF156" i="9" a="1"/>
  <c r="AF156" i="9"/>
  <c r="AF157" i="9" a="1"/>
  <c r="AF157" i="9"/>
  <c r="AF158" i="9" a="1"/>
  <c r="AF158" i="9"/>
  <c r="AF159" i="9" a="1"/>
  <c r="AF159" i="9" s="1"/>
  <c r="AF160" i="9" a="1"/>
  <c r="AF160" i="9"/>
  <c r="AF161" i="9" a="1"/>
  <c r="AF161" i="9" s="1"/>
  <c r="AF162" i="9" a="1"/>
  <c r="AF162" i="9"/>
  <c r="AF163" i="9" a="1"/>
  <c r="AF163" i="9"/>
  <c r="AF164" i="9" a="1"/>
  <c r="AF164" i="9"/>
  <c r="AF165" i="9" a="1"/>
  <c r="AF165" i="9" s="1"/>
  <c r="AF166" i="9" a="1"/>
  <c r="AF166" i="9" s="1"/>
  <c r="AF4" i="9" a="1"/>
  <c r="AF4" i="9" s="1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E159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E157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E155" i="9"/>
  <c r="AD155" i="9"/>
  <c r="AC155" i="9"/>
  <c r="AB155" i="9"/>
  <c r="AA155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E154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E151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<sst xmlns="http://schemas.openxmlformats.org/spreadsheetml/2006/main" count="5481" uniqueCount="635">
  <si>
    <t>#</t>
  </si>
  <si>
    <t>用户</t>
  </si>
  <si>
    <t>电子邮件</t>
  </si>
  <si>
    <t>学校</t>
  </si>
  <si>
    <t>名称</t>
  </si>
  <si>
    <t>学号</t>
  </si>
  <si>
    <t>总分数</t>
  </si>
  <si>
    <t>#1 信号连接</t>
  </si>
  <si>
    <t>#2 谜题</t>
  </si>
  <si>
    <t>#3 最古老的传说</t>
  </si>
  <si>
    <t>A036</t>
  </si>
  <si>
    <t>A036@qq.com</t>
  </si>
  <si>
    <t>佛山市南海区石门中学</t>
  </si>
  <si>
    <t>王梓睿</t>
  </si>
  <si>
    <t>A015</t>
  </si>
  <si>
    <t>A015@qq.com</t>
  </si>
  <si>
    <t>华南师范大学附属中学</t>
  </si>
  <si>
    <t>叶名瀚</t>
  </si>
  <si>
    <t>B015</t>
  </si>
  <si>
    <t>B015@qq.com</t>
  </si>
  <si>
    <t>杭州市第二中学</t>
  </si>
  <si>
    <t>郑乐章</t>
  </si>
  <si>
    <t>A022</t>
  </si>
  <si>
    <t>A022@qq.com</t>
  </si>
  <si>
    <t>重庆市巴蜀中学校</t>
  </si>
  <si>
    <t>李知检</t>
  </si>
  <si>
    <t>B007</t>
  </si>
  <si>
    <t>B007@qq.com</t>
  </si>
  <si>
    <t>北京大学附属中学</t>
  </si>
  <si>
    <t>陈一苇</t>
  </si>
  <si>
    <t>A026</t>
  </si>
  <si>
    <t>A026@qq.com</t>
  </si>
  <si>
    <t>郭音赫</t>
  </si>
  <si>
    <t>A001</t>
  </si>
  <si>
    <t>A001@qq.com</t>
  </si>
  <si>
    <t>戴睿宸</t>
  </si>
  <si>
    <t>A004</t>
  </si>
  <si>
    <t>A004@qq.com</t>
  </si>
  <si>
    <t>叶隽霖</t>
  </si>
  <si>
    <t>A043</t>
  </si>
  <si>
    <t>A043@qq.com</t>
  </si>
  <si>
    <t>唐山市第一中学</t>
  </si>
  <si>
    <t>范小冉</t>
  </si>
  <si>
    <t>A002</t>
  </si>
  <si>
    <t>A002@qq.com</t>
  </si>
  <si>
    <t>殷骏</t>
  </si>
  <si>
    <t>A025</t>
  </si>
  <si>
    <t>A025@qq.com</t>
  </si>
  <si>
    <t>长郡中学</t>
  </si>
  <si>
    <t>程楷轩</t>
  </si>
  <si>
    <t>B005</t>
  </si>
  <si>
    <t>B005@qq.com</t>
  </si>
  <si>
    <t>西南大学附属中学校</t>
  </si>
  <si>
    <t>刘恒卓</t>
  </si>
  <si>
    <t>B021</t>
  </si>
  <si>
    <t>B021@qq.com</t>
  </si>
  <si>
    <t>北京中学</t>
  </si>
  <si>
    <t>胡筝</t>
  </si>
  <si>
    <t>A010</t>
  </si>
  <si>
    <t>A010@qq.com</t>
  </si>
  <si>
    <t>浙江省诸暨市海亮高级中学</t>
  </si>
  <si>
    <t>吴旻逸</t>
  </si>
  <si>
    <t>B033</t>
  </si>
  <si>
    <t>B033@qq.com</t>
  </si>
  <si>
    <t>华中师范大学第一附属中学</t>
  </si>
  <si>
    <t>柳子宁</t>
  </si>
  <si>
    <t>A009</t>
  </si>
  <si>
    <t>A009@qq.com</t>
  </si>
  <si>
    <t>成都外国语学校</t>
  </si>
  <si>
    <t>蒋明睿</t>
  </si>
  <si>
    <t>A006</t>
  </si>
  <si>
    <t>A006@qq.com</t>
  </si>
  <si>
    <t>李承翰</t>
  </si>
  <si>
    <t>D025</t>
  </si>
  <si>
    <t>D025@qq.com</t>
  </si>
  <si>
    <t>黄子怀</t>
  </si>
  <si>
    <t>A031</t>
  </si>
  <si>
    <t>A031@qq.com</t>
  </si>
  <si>
    <t>伍敬宇</t>
  </si>
  <si>
    <t>A038</t>
  </si>
  <si>
    <t>A038@qq.com</t>
  </si>
  <si>
    <t>广州大学附属中学</t>
  </si>
  <si>
    <t>黄豆</t>
  </si>
  <si>
    <t>B041</t>
  </si>
  <si>
    <t>B041@qq.com</t>
  </si>
  <si>
    <t>福建省厦门第一中学</t>
  </si>
  <si>
    <t>张子朴</t>
  </si>
  <si>
    <t>A017</t>
  </si>
  <si>
    <t>A017@qq.com</t>
  </si>
  <si>
    <t>深圳中学</t>
  </si>
  <si>
    <t>朱瀚阳</t>
  </si>
  <si>
    <t>A024</t>
  </si>
  <si>
    <t>A024@qq.com</t>
  </si>
  <si>
    <t>谢朝阳</t>
  </si>
  <si>
    <t>C027</t>
  </si>
  <si>
    <t>C027@qq.com</t>
  </si>
  <si>
    <t>北京市十一学校</t>
  </si>
  <si>
    <t>岳双泽</t>
  </si>
  <si>
    <t>A007</t>
  </si>
  <si>
    <t>A007@qq.com</t>
  </si>
  <si>
    <t>上海市曹杨第二中学</t>
  </si>
  <si>
    <t>王翊临</t>
  </si>
  <si>
    <t>A034</t>
  </si>
  <si>
    <t>A034@qq.com</t>
  </si>
  <si>
    <t>清远市广铁一中（万科城）外国语学校</t>
  </si>
  <si>
    <t>马明轩</t>
  </si>
  <si>
    <t>A016</t>
  </si>
  <si>
    <t>A016@qq.com</t>
  </si>
  <si>
    <t>成都市第七中学</t>
  </si>
  <si>
    <t>邓融阔</t>
  </si>
  <si>
    <t>A030</t>
  </si>
  <si>
    <t>A030@qq.com</t>
  </si>
  <si>
    <t>陈信允</t>
  </si>
  <si>
    <t>B036</t>
  </si>
  <si>
    <t>B036@qq.com</t>
  </si>
  <si>
    <t>谢汝瑜</t>
  </si>
  <si>
    <t>B019</t>
  </si>
  <si>
    <t>B019@qq.com</t>
  </si>
  <si>
    <t>深圳市宝安中学（集团）高中部</t>
  </si>
  <si>
    <t>蒋骏豪</t>
  </si>
  <si>
    <t>B023</t>
  </si>
  <si>
    <t>B023@qq.com</t>
  </si>
  <si>
    <t>福州第三中学</t>
  </si>
  <si>
    <t>郑锦翼</t>
  </si>
  <si>
    <t>B028</t>
  </si>
  <si>
    <t>B028@qq.com</t>
  </si>
  <si>
    <t>成都市锦江区嘉祥外国语高级中学</t>
  </si>
  <si>
    <t>张子佩</t>
  </si>
  <si>
    <t>B020</t>
  </si>
  <si>
    <t>B020@qq.com</t>
  </si>
  <si>
    <t>韦锦成</t>
  </si>
  <si>
    <t>C023</t>
  </si>
  <si>
    <t>C023@qq.com</t>
  </si>
  <si>
    <t>广州市第二中学</t>
  </si>
  <si>
    <t>刘泓睿</t>
  </si>
  <si>
    <t>B008</t>
  </si>
  <si>
    <t>B008@qq.com</t>
  </si>
  <si>
    <t>许远正</t>
  </si>
  <si>
    <t>A035</t>
  </si>
  <si>
    <t>A035@qq.com</t>
  </si>
  <si>
    <t>周以山</t>
  </si>
  <si>
    <t>A014</t>
  </si>
  <si>
    <t>A014@qq.com</t>
  </si>
  <si>
    <t>上海外国语大学附属外国语学校</t>
  </si>
  <si>
    <t>吴思成</t>
  </si>
  <si>
    <t>B004</t>
  </si>
  <si>
    <t>B004@qq.com</t>
  </si>
  <si>
    <t>长沙市第一中学</t>
  </si>
  <si>
    <t>史振烨</t>
  </si>
  <si>
    <t>B042</t>
  </si>
  <si>
    <t>B042@qq.com</t>
  </si>
  <si>
    <t>武汉新城实验中学</t>
  </si>
  <si>
    <t>刘珈逸</t>
  </si>
  <si>
    <t>A020</t>
  </si>
  <si>
    <t>A020@qq.com</t>
  </si>
  <si>
    <t>深圳外国语学校</t>
  </si>
  <si>
    <t>许由</t>
  </si>
  <si>
    <t>C031</t>
  </si>
  <si>
    <t>C031@qq.com</t>
  </si>
  <si>
    <t>缪凌锴</t>
  </si>
  <si>
    <t>A005</t>
  </si>
  <si>
    <t>A005@qq.com</t>
  </si>
  <si>
    <t>贾治辰</t>
  </si>
  <si>
    <t>A021</t>
  </si>
  <si>
    <t>A021@qq.com</t>
  </si>
  <si>
    <t>李子优</t>
  </si>
  <si>
    <t>D034</t>
  </si>
  <si>
    <t>D034@qq.com</t>
  </si>
  <si>
    <t>长沙市中雅培粹学校</t>
  </si>
  <si>
    <t>李学睿</t>
  </si>
  <si>
    <t>A019</t>
  </si>
  <si>
    <t>A019@qq.com</t>
  </si>
  <si>
    <t>周雨衡</t>
  </si>
  <si>
    <t>A008</t>
  </si>
  <si>
    <t>A008@qq.com</t>
  </si>
  <si>
    <t>范璟阳</t>
  </si>
  <si>
    <t>A013</t>
  </si>
  <si>
    <t>A013@qq.com</t>
  </si>
  <si>
    <t>中山市中山纪念中学</t>
  </si>
  <si>
    <t>胡金勇</t>
  </si>
  <si>
    <t>B026</t>
  </si>
  <si>
    <t>B026@qq.com</t>
  </si>
  <si>
    <t>杨佳熹</t>
  </si>
  <si>
    <t>D019</t>
  </si>
  <si>
    <t>D019@qq.com</t>
  </si>
  <si>
    <t>何致远</t>
  </si>
  <si>
    <t>C007</t>
  </si>
  <si>
    <t>C007@qq.com</t>
  </si>
  <si>
    <t>杨金城</t>
  </si>
  <si>
    <t>C006</t>
  </si>
  <si>
    <t>C006@qq.com</t>
  </si>
  <si>
    <t>广东实验中学</t>
  </si>
  <si>
    <t>汪嘉睿</t>
  </si>
  <si>
    <t>A023</t>
  </si>
  <si>
    <t>A023@qq.com</t>
  </si>
  <si>
    <t>刘家萌</t>
  </si>
  <si>
    <t>D032</t>
  </si>
  <si>
    <t>D032@qq.com</t>
  </si>
  <si>
    <t>贺枳南</t>
  </si>
  <si>
    <t>D031</t>
  </si>
  <si>
    <t>D031@qq.com</t>
  </si>
  <si>
    <t>王心卓</t>
  </si>
  <si>
    <t>C028</t>
  </si>
  <si>
    <t>C028@qq.com</t>
  </si>
  <si>
    <t>陈瀚熹</t>
  </si>
  <si>
    <t>C018</t>
  </si>
  <si>
    <t>C018@qq.com</t>
  </si>
  <si>
    <t>王中元</t>
  </si>
  <si>
    <t>C038</t>
  </si>
  <si>
    <t>C038@qq.com</t>
  </si>
  <si>
    <t>余飞弦</t>
  </si>
  <si>
    <t>D040</t>
  </si>
  <si>
    <t>D040@qq.com</t>
  </si>
  <si>
    <t>杨济帆</t>
  </si>
  <si>
    <t>D012</t>
  </si>
  <si>
    <t>D012@qq.com</t>
  </si>
  <si>
    <t>中山市三鑫学校</t>
  </si>
  <si>
    <t>徐浩轩</t>
  </si>
  <si>
    <t>C017</t>
  </si>
  <si>
    <t>C017@qq.com</t>
  </si>
  <si>
    <t>龚特</t>
  </si>
  <si>
    <t>C015</t>
  </si>
  <si>
    <t>C015@qq.com</t>
  </si>
  <si>
    <t>安徽师范大学附属中学</t>
  </si>
  <si>
    <t>赵旭初</t>
  </si>
  <si>
    <t>D004</t>
  </si>
  <si>
    <t>D004@qq.com</t>
  </si>
  <si>
    <t>关永丞</t>
  </si>
  <si>
    <t>B002</t>
  </si>
  <si>
    <t>B002@qq.com</t>
  </si>
  <si>
    <t>王译萱</t>
  </si>
  <si>
    <t>D033</t>
  </si>
  <si>
    <t>D033@qq.com</t>
  </si>
  <si>
    <t>陈元熙</t>
  </si>
  <si>
    <t>D026</t>
  </si>
  <si>
    <t>D026@qq.com</t>
  </si>
  <si>
    <t>斯嘉智</t>
  </si>
  <si>
    <t>D018</t>
  </si>
  <si>
    <t>D018@qq.com</t>
  </si>
  <si>
    <t>严启晋</t>
  </si>
  <si>
    <t>B032</t>
  </si>
  <si>
    <t>B032@qq.com</t>
  </si>
  <si>
    <t>古皓羽</t>
  </si>
  <si>
    <t>B038</t>
  </si>
  <si>
    <t>B038@qq.com</t>
  </si>
  <si>
    <t>苏昱霖</t>
  </si>
  <si>
    <t>B025</t>
  </si>
  <si>
    <t>B025@qq.com</t>
  </si>
  <si>
    <t>邓承羽</t>
  </si>
  <si>
    <t>B034</t>
  </si>
  <si>
    <t>B034@qq.com</t>
  </si>
  <si>
    <t>宋承璋</t>
  </si>
  <si>
    <t>A028</t>
  </si>
  <si>
    <t>A028@qq.com</t>
  </si>
  <si>
    <t>重庆市第八中学校</t>
  </si>
  <si>
    <t>彭彦桐</t>
  </si>
  <si>
    <t>B011</t>
  </si>
  <si>
    <t>B011@qq.com</t>
  </si>
  <si>
    <t>西安市铁一中学</t>
  </si>
  <si>
    <t>李倏嘉</t>
  </si>
  <si>
    <t>A039</t>
  </si>
  <si>
    <t>A039@qq.com</t>
  </si>
  <si>
    <t>方铨铎</t>
  </si>
  <si>
    <t>B027</t>
  </si>
  <si>
    <t>B027@qq.com</t>
  </si>
  <si>
    <t>匡宸锐</t>
  </si>
  <si>
    <t>D038</t>
  </si>
  <si>
    <t>D038@qq.com</t>
  </si>
  <si>
    <t>邓致远</t>
  </si>
  <si>
    <t>C034</t>
  </si>
  <si>
    <t>C034@qq.com</t>
  </si>
  <si>
    <t>赵稻道</t>
  </si>
  <si>
    <t>teacher</t>
  </si>
  <si>
    <t>teacher@qq.com</t>
  </si>
  <si>
    <t>B029</t>
  </si>
  <si>
    <t>B029@qq.com</t>
  </si>
  <si>
    <t>姚岩峰</t>
  </si>
  <si>
    <t>C008</t>
  </si>
  <si>
    <t>C008@qq.com</t>
  </si>
  <si>
    <t>边逸城</t>
  </si>
  <si>
    <t>C013</t>
  </si>
  <si>
    <t>C013@qq.com</t>
  </si>
  <si>
    <t>清华大学附属中学</t>
  </si>
  <si>
    <t>黄思源</t>
  </si>
  <si>
    <t>B001</t>
  </si>
  <si>
    <t>B001@qq.com</t>
  </si>
  <si>
    <t>李烨霖</t>
  </si>
  <si>
    <t>D030</t>
  </si>
  <si>
    <t>D030@qq.com</t>
  </si>
  <si>
    <t>黄羿信</t>
  </si>
  <si>
    <t>A011</t>
  </si>
  <si>
    <t>A011@qq.com</t>
  </si>
  <si>
    <t>张乐涛</t>
  </si>
  <si>
    <t>A018</t>
  </si>
  <si>
    <t>A018@qq.com</t>
  </si>
  <si>
    <t>袁煜智</t>
  </si>
  <si>
    <t>D009</t>
  </si>
  <si>
    <t>D009@qq.com</t>
  </si>
  <si>
    <t>彭炜翔</t>
  </si>
  <si>
    <t>C002</t>
  </si>
  <si>
    <t>C002@qq.com</t>
  </si>
  <si>
    <t>深圳市耀华实验学校</t>
  </si>
  <si>
    <t>刘航聿</t>
  </si>
  <si>
    <t>D021</t>
  </si>
  <si>
    <t>D021@qq.com</t>
  </si>
  <si>
    <t>广东省汕头市金山中学</t>
  </si>
  <si>
    <t>杨其臻</t>
  </si>
  <si>
    <t>C005</t>
  </si>
  <si>
    <t>C005@qq.com</t>
  </si>
  <si>
    <t>刘佳恒</t>
  </si>
  <si>
    <t>C003</t>
  </si>
  <si>
    <t>C003@qq.com</t>
  </si>
  <si>
    <t>伍佳鑫</t>
  </si>
  <si>
    <t>B022</t>
  </si>
  <si>
    <t>B022@qq.com</t>
  </si>
  <si>
    <t>乐山高新区嘉祥外国语学校</t>
  </si>
  <si>
    <t>孙邦博</t>
  </si>
  <si>
    <t>C026</t>
  </si>
  <si>
    <t>C026@qq.com</t>
  </si>
  <si>
    <t>崔瑞麟</t>
  </si>
  <si>
    <t>D008</t>
  </si>
  <si>
    <t>D008@qq.com</t>
  </si>
  <si>
    <t>夏闻道</t>
  </si>
  <si>
    <t>D027</t>
  </si>
  <si>
    <t>D027@qq.com</t>
  </si>
  <si>
    <t>师禹田</t>
  </si>
  <si>
    <t>C004</t>
  </si>
  <si>
    <t>C004@qq.com</t>
  </si>
  <si>
    <t>张宗岳</t>
  </si>
  <si>
    <t>C019</t>
  </si>
  <si>
    <t>C019@qq.com</t>
  </si>
  <si>
    <t>黄子曜</t>
  </si>
  <si>
    <t>B014</t>
  </si>
  <si>
    <t>B014@qq.com</t>
  </si>
  <si>
    <t>桂阳熠</t>
  </si>
  <si>
    <t>C011</t>
  </si>
  <si>
    <t>C011@qq.com</t>
  </si>
  <si>
    <t>卢逸轩</t>
  </si>
  <si>
    <t>B010</t>
  </si>
  <si>
    <t>B010@qq.com</t>
  </si>
  <si>
    <t>陈泓睿</t>
  </si>
  <si>
    <t>C012</t>
  </si>
  <si>
    <t>C012@qq.com</t>
  </si>
  <si>
    <t>王奕博</t>
  </si>
  <si>
    <t>A033</t>
  </si>
  <si>
    <t>A033@qq.com</t>
  </si>
  <si>
    <t>广州市铁一中学</t>
  </si>
  <si>
    <t>于镓赫</t>
  </si>
  <si>
    <t>C020</t>
  </si>
  <si>
    <t>C020@qq.com</t>
  </si>
  <si>
    <t>何盛哲</t>
  </si>
  <si>
    <t>A041</t>
  </si>
  <si>
    <t>A041@qq.com</t>
  </si>
  <si>
    <t>周祎</t>
  </si>
  <si>
    <t>B031</t>
  </si>
  <si>
    <t>B031@qq.com</t>
  </si>
  <si>
    <t>程竹</t>
  </si>
  <si>
    <t>B030</t>
  </si>
  <si>
    <t>B030@qq.com</t>
  </si>
  <si>
    <t>马周</t>
  </si>
  <si>
    <t>A029</t>
  </si>
  <si>
    <t>A029@qq.com</t>
  </si>
  <si>
    <t>广州市第六中学</t>
  </si>
  <si>
    <t>练思远</t>
  </si>
  <si>
    <t>C001</t>
  </si>
  <si>
    <t>C001@qq.com</t>
  </si>
  <si>
    <t>赵崧维</t>
  </si>
  <si>
    <t>C033</t>
  </si>
  <si>
    <t>C033@qq.com</t>
  </si>
  <si>
    <t>深圳北理莫斯科大学附属实验中学</t>
  </si>
  <si>
    <t>李泽鸿</t>
  </si>
  <si>
    <t>C009</t>
  </si>
  <si>
    <t>C009@qq.com</t>
  </si>
  <si>
    <t>叶荣添</t>
  </si>
  <si>
    <t>B040</t>
  </si>
  <si>
    <t>B040@qq.com</t>
  </si>
  <si>
    <t>李劭鸿</t>
  </si>
  <si>
    <t>D015</t>
  </si>
  <si>
    <t>D015@qq.com</t>
  </si>
  <si>
    <t>深圳市蛇口育才教育集团育才中学</t>
  </si>
  <si>
    <t>白鹏程</t>
  </si>
  <si>
    <t>D036</t>
  </si>
  <si>
    <t>D036@qq.com</t>
  </si>
  <si>
    <t>深圳市福田区红岭中学</t>
  </si>
  <si>
    <t>陈悦扬</t>
  </si>
  <si>
    <t>A012</t>
  </si>
  <si>
    <t>A012@qq.com</t>
  </si>
  <si>
    <t>陈可佳</t>
  </si>
  <si>
    <t>C030</t>
  </si>
  <si>
    <t>C030@qq.com</t>
  </si>
  <si>
    <t>林轩睿</t>
  </si>
  <si>
    <t>D013</t>
  </si>
  <si>
    <t>D013@qq.com</t>
  </si>
  <si>
    <t>袁浩然</t>
  </si>
  <si>
    <t>D003</t>
  </si>
  <si>
    <t>D003@qq.com</t>
  </si>
  <si>
    <t>周行健</t>
  </si>
  <si>
    <t>B012</t>
  </si>
  <si>
    <t>B012@qq.com</t>
  </si>
  <si>
    <t>马致迅</t>
  </si>
  <si>
    <t>B009</t>
  </si>
  <si>
    <t>B009@qq.com</t>
  </si>
  <si>
    <t>祝钰杰</t>
  </si>
  <si>
    <t>D014</t>
  </si>
  <si>
    <t>D014@qq.com</t>
  </si>
  <si>
    <t>王心怡</t>
  </si>
  <si>
    <t>B037</t>
  </si>
  <si>
    <t>B037@qq.com</t>
  </si>
  <si>
    <t>黄景梵</t>
  </si>
  <si>
    <t>A042</t>
  </si>
  <si>
    <t>A042@qq.com</t>
  </si>
  <si>
    <t>吕林熹</t>
  </si>
  <si>
    <t>C042</t>
  </si>
  <si>
    <t>C042@qq.com</t>
  </si>
  <si>
    <t>陕西渭南高新中学</t>
  </si>
  <si>
    <t>张嘉宁</t>
  </si>
  <si>
    <t>C029</t>
  </si>
  <si>
    <t>C029@qq.com</t>
  </si>
  <si>
    <t>深圳市高级中学</t>
  </si>
  <si>
    <t>梁意森</t>
  </si>
  <si>
    <t>C035</t>
  </si>
  <si>
    <t>C035@qq.com</t>
  </si>
  <si>
    <t>郑祺</t>
  </si>
  <si>
    <t>D016</t>
  </si>
  <si>
    <t>D016@qq.com</t>
  </si>
  <si>
    <t>中山市石岐中学</t>
  </si>
  <si>
    <t>严谨</t>
  </si>
  <si>
    <t>B006</t>
  </si>
  <si>
    <t>B006@qq.com</t>
  </si>
  <si>
    <t>陶治霖</t>
  </si>
  <si>
    <t>B035</t>
  </si>
  <si>
    <t>B035@qq.com</t>
  </si>
  <si>
    <t>李东宸</t>
  </si>
  <si>
    <t>C025</t>
  </si>
  <si>
    <t>C025@qq.com</t>
  </si>
  <si>
    <t>李钧</t>
  </si>
  <si>
    <t>B018</t>
  </si>
  <si>
    <t>B018@qq.com</t>
  </si>
  <si>
    <t>重庆市育才中学校</t>
  </si>
  <si>
    <t>周琛乔</t>
  </si>
  <si>
    <t>D035</t>
  </si>
  <si>
    <t>D035@qq.com</t>
  </si>
  <si>
    <t>东莞市东莞中学松山湖学校</t>
  </si>
  <si>
    <t>王成熠</t>
  </si>
  <si>
    <t>B017</t>
  </si>
  <si>
    <t>B017@qq.com</t>
  </si>
  <si>
    <t>王天琢</t>
  </si>
  <si>
    <t>A040</t>
  </si>
  <si>
    <t>A040@qq.com</t>
  </si>
  <si>
    <t>刘君仪</t>
  </si>
  <si>
    <t>D002</t>
  </si>
  <si>
    <t>D002@qq.com</t>
  </si>
  <si>
    <t>郭麓羲</t>
  </si>
  <si>
    <t>C010</t>
  </si>
  <si>
    <t>C010@qq.com</t>
  </si>
  <si>
    <t>梁博文</t>
  </si>
  <si>
    <t>D029</t>
  </si>
  <si>
    <t>D029@qq.com</t>
  </si>
  <si>
    <t>蔡大为</t>
  </si>
  <si>
    <t>D039</t>
  </si>
  <si>
    <t>D039@qq.com</t>
  </si>
  <si>
    <t>陕西西北工业大学附属中学</t>
  </si>
  <si>
    <t>杨浩基</t>
  </si>
  <si>
    <t>C021</t>
  </si>
  <si>
    <t>C021@qq.com</t>
  </si>
  <si>
    <t>江牧川</t>
  </si>
  <si>
    <t>B043</t>
  </si>
  <si>
    <t>B043@qq.com</t>
  </si>
  <si>
    <t>易牧华</t>
  </si>
  <si>
    <t>D006</t>
  </si>
  <si>
    <t>D006@qq.com</t>
  </si>
  <si>
    <t>贵阳市华师一学校</t>
  </si>
  <si>
    <t>孙宇宸</t>
  </si>
  <si>
    <t>B003</t>
  </si>
  <si>
    <t>B003@qq.com</t>
  </si>
  <si>
    <t>蒋周运</t>
  </si>
  <si>
    <t>B039</t>
  </si>
  <si>
    <t>B039@qq.com</t>
  </si>
  <si>
    <t>梁家齐</t>
  </si>
  <si>
    <t>C040</t>
  </si>
  <si>
    <t>C040@qq.com</t>
  </si>
  <si>
    <t>姚宇翔</t>
  </si>
  <si>
    <t>A032</t>
  </si>
  <si>
    <t>A032@qq.com</t>
  </si>
  <si>
    <t>王燨</t>
  </si>
  <si>
    <t>C032</t>
  </si>
  <si>
    <t>C032@qq.com</t>
  </si>
  <si>
    <t>舒浩轩</t>
  </si>
  <si>
    <t>C022</t>
  </si>
  <si>
    <t>C022@qq.com</t>
  </si>
  <si>
    <t>杨铭哲</t>
  </si>
  <si>
    <t>D005</t>
  </si>
  <si>
    <t>D005@qq.com</t>
  </si>
  <si>
    <t>阳毅</t>
  </si>
  <si>
    <t>D024</t>
  </si>
  <si>
    <t>D024@qq.com</t>
  </si>
  <si>
    <t>梁君熙</t>
  </si>
  <si>
    <t>B016</t>
  </si>
  <si>
    <t>B016@qq.com</t>
  </si>
  <si>
    <t>田滨诚</t>
  </si>
  <si>
    <t>D037</t>
  </si>
  <si>
    <t>D037@qq.com</t>
  </si>
  <si>
    <t>深圳实验学校</t>
  </si>
  <si>
    <t>张翌灿</t>
  </si>
  <si>
    <t>D028</t>
  </si>
  <si>
    <t>D028@qq.com</t>
  </si>
  <si>
    <t>王逸文</t>
  </si>
  <si>
    <t>B013</t>
  </si>
  <si>
    <t>B013@qq.com</t>
  </si>
  <si>
    <t>杨惠然</t>
  </si>
  <si>
    <t>D022</t>
  </si>
  <si>
    <t>D022@qq.com</t>
  </si>
  <si>
    <t>钟宇杰</t>
  </si>
  <si>
    <t>C041</t>
  </si>
  <si>
    <t>C041@qq.com</t>
  </si>
  <si>
    <t>蒋林逍</t>
  </si>
  <si>
    <t>C024</t>
  </si>
  <si>
    <t>C024@qq.com</t>
  </si>
  <si>
    <t>萧泽安</t>
  </si>
  <si>
    <t>A003</t>
  </si>
  <si>
    <t>A003@qq.com</t>
  </si>
  <si>
    <t>江苏省锡山高级中学</t>
  </si>
  <si>
    <t>陶奕潇</t>
  </si>
  <si>
    <t>D001</t>
  </si>
  <si>
    <t>D001@qq.com</t>
  </si>
  <si>
    <t>闫卓轩</t>
  </si>
  <si>
    <t>D007</t>
  </si>
  <si>
    <t>D007@qq.com</t>
  </si>
  <si>
    <t>肖博文</t>
  </si>
  <si>
    <t>#1 猪染色(color)</t>
  </si>
  <si>
    <t>#2 猪相遇(meet)</t>
  </si>
  <si>
    <t>#3 猪画画(draw)</t>
  </si>
  <si>
    <t>D010</t>
  </si>
  <si>
    <t>D010@qq.com</t>
  </si>
  <si>
    <t>佛山市南海区瀚文外国语学校</t>
  </si>
  <si>
    <t>沈圣添</t>
  </si>
  <si>
    <t>B024</t>
  </si>
  <si>
    <t>B024@qq.com</t>
  </si>
  <si>
    <t>康立扬</t>
  </si>
  <si>
    <t>D041</t>
  </si>
  <si>
    <t>D041@qq.com</t>
  </si>
  <si>
    <t xml:space="preserve">稻香湖学校 </t>
  </si>
  <si>
    <t>赵云帆</t>
  </si>
  <si>
    <t>A037</t>
  </si>
  <si>
    <t>A037@qq.com</t>
  </si>
  <si>
    <t>李昱嘉</t>
  </si>
  <si>
    <t>D020</t>
  </si>
  <si>
    <t>D020@qq.com</t>
  </si>
  <si>
    <t>佛山市南海区狮山镇英才学校</t>
  </si>
  <si>
    <t>宁浩天</t>
  </si>
  <si>
    <t>D017</t>
  </si>
  <si>
    <t>D017@qq.com</t>
  </si>
  <si>
    <t>孙梓珊</t>
  </si>
  <si>
    <t>C039</t>
  </si>
  <si>
    <t>C039@qq.com</t>
  </si>
  <si>
    <t>中山市纪雅学校</t>
  </si>
  <si>
    <t>全智贤</t>
  </si>
  <si>
    <t>D045</t>
  </si>
  <si>
    <t>D045@qq.com</t>
  </si>
  <si>
    <t>陈在宇</t>
  </si>
  <si>
    <t>D044</t>
  </si>
  <si>
    <t>D044@qq.com</t>
  </si>
  <si>
    <t>何一贤</t>
  </si>
  <si>
    <t>C036</t>
  </si>
  <si>
    <t>C036@qq.com</t>
  </si>
  <si>
    <t>程奕霖</t>
  </si>
  <si>
    <t>D011</t>
  </si>
  <si>
    <t>D011@qq.com</t>
  </si>
  <si>
    <t>佛山市南海区石实实验学校</t>
  </si>
  <si>
    <t>李睿博</t>
  </si>
  <si>
    <t>Fantasy_Ball</t>
  </si>
  <si>
    <t>3229669406@qq.com</t>
  </si>
  <si>
    <t>#1 双飞燕</t>
  </si>
  <si>
    <t>#2 裹锋</t>
  </si>
  <si>
    <t>#3 气合</t>
  </si>
  <si>
    <t>D046</t>
  </si>
  <si>
    <t>D046@qq.com</t>
  </si>
  <si>
    <t>汕头市聿怀中学</t>
  </si>
  <si>
    <t>黄天泷</t>
  </si>
  <si>
    <t>#1 双生棋子</t>
  </si>
  <si>
    <t>#2 死亡路线</t>
  </si>
  <si>
    <t>#3 夜空奏</t>
  </si>
  <si>
    <t>#1 路径</t>
  </si>
  <si>
    <t>#2 圆桌</t>
  </si>
  <si>
    <t>#3 传送门</t>
  </si>
  <si>
    <t>D042</t>
  </si>
  <si>
    <t>D042@qq.com</t>
  </si>
  <si>
    <t>姚昊佑</t>
  </si>
  <si>
    <t>#1 多彩序列</t>
  </si>
  <si>
    <t>#2 大冲刺</t>
  </si>
  <si>
    <t>#3 不太像花的基环树</t>
  </si>
  <si>
    <t>valor</t>
  </si>
  <si>
    <t>valor@qq.com</t>
  </si>
  <si>
    <t>#1 超立方体</t>
  </si>
  <si>
    <t>#2 地图 II</t>
  </si>
  <si>
    <t>#3 神谕</t>
  </si>
  <si>
    <t>#1 游戏</t>
  </si>
  <si>
    <t>#2 建设</t>
  </si>
  <si>
    <t>#3 Cycle Of Sorrow</t>
  </si>
  <si>
    <t>Contest 1</t>
  </si>
  <si>
    <t>Contest 2</t>
  </si>
  <si>
    <t>Contest 3</t>
  </si>
  <si>
    <t>Contest 4</t>
  </si>
  <si>
    <t>C1 总分</t>
  </si>
  <si>
    <t>C2 总分</t>
  </si>
  <si>
    <t>C3 总分</t>
  </si>
  <si>
    <t>C4 总分</t>
  </si>
  <si>
    <t>总分</t>
  </si>
  <si>
    <t>排名</t>
  </si>
  <si>
    <t>Day 1</t>
  </si>
  <si>
    <t>Day 2</t>
  </si>
  <si>
    <t>T1 信号连接</t>
  </si>
  <si>
    <t>T2 谜题</t>
  </si>
  <si>
    <t>T3 最古老的传说</t>
  </si>
  <si>
    <t>T1 猪染色</t>
  </si>
  <si>
    <t>T2 猪相遇</t>
  </si>
  <si>
    <t>T3 猪画画</t>
  </si>
  <si>
    <t>T1 双飞燕</t>
  </si>
  <si>
    <t>T2 裹锋</t>
  </si>
  <si>
    <t>T3 气合</t>
  </si>
  <si>
    <t>T1 双生棋子</t>
  </si>
  <si>
    <t>T2 死亡路线</t>
  </si>
  <si>
    <t>T3 夜空奏</t>
  </si>
  <si>
    <t>T1 路径</t>
  </si>
  <si>
    <t>T2 圆桌</t>
  </si>
  <si>
    <t>T3 传送门</t>
  </si>
  <si>
    <t>T1 多彩序列</t>
  </si>
  <si>
    <t>T2 大冲刺</t>
  </si>
  <si>
    <t>T3 不太像花的基环树</t>
  </si>
  <si>
    <t>T1 超立方体</t>
  </si>
  <si>
    <t>T2 地图II</t>
  </si>
  <si>
    <t>T3 神谕</t>
  </si>
  <si>
    <t>T1 游戏</t>
  </si>
  <si>
    <t>T2 建设</t>
  </si>
  <si>
    <t>T3 CycleOfSorrow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</si>
</sst>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u/>
      <sz val="11"/>
      <color theme="10"/>
      <name val="Calibri"/>
    </font>
    <font>
      <b/>
      <sz val="12"/>
      <name val="Times New Roman"/>
    </font>
    <font>
      <b/>
      <sz val="11"/>
      <color theme="1"/>
      <name val="Times New Roman"/>
    </font>
    <font>
      <sz val="12"/>
      <color theme="1"/>
      <name val="Consolas"/>
    </font>
    <font>
      <sz val="12"/>
      <name val="Consolas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theme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nlyoffice.com/jsaProject" Target="jsaProject.bin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B009@qq.com" TargetMode="External"/><Relationship Id="rId21" Type="http://schemas.openxmlformats.org/officeDocument/2006/relationships/hyperlink" Target="http://B041@qq.com" TargetMode="External"/><Relationship Id="rId42" Type="http://schemas.openxmlformats.org/officeDocument/2006/relationships/hyperlink" Target="http://A005@qq.com" TargetMode="External"/><Relationship Id="rId63" Type="http://schemas.openxmlformats.org/officeDocument/2006/relationships/hyperlink" Target="http://B002@qq.com" TargetMode="External"/><Relationship Id="rId84" Type="http://schemas.openxmlformats.org/officeDocument/2006/relationships/hyperlink" Target="http://A018@qq.com" TargetMode="External"/><Relationship Id="rId138" Type="http://schemas.openxmlformats.org/officeDocument/2006/relationships/hyperlink" Target="http://D006@qq.com" TargetMode="External"/><Relationship Id="rId107" Type="http://schemas.openxmlformats.org/officeDocument/2006/relationships/hyperlink" Target="http://C033@qq.com" TargetMode="External"/><Relationship Id="rId11" Type="http://schemas.openxmlformats.org/officeDocument/2006/relationships/hyperlink" Target="http://A025@qq.com" TargetMode="External"/><Relationship Id="rId32" Type="http://schemas.openxmlformats.org/officeDocument/2006/relationships/hyperlink" Target="http://B028@qq.com" TargetMode="External"/><Relationship Id="rId53" Type="http://schemas.openxmlformats.org/officeDocument/2006/relationships/hyperlink" Target="http://D032@qq.com" TargetMode="External"/><Relationship Id="rId74" Type="http://schemas.openxmlformats.org/officeDocument/2006/relationships/hyperlink" Target="http://B027@qq.com" TargetMode="External"/><Relationship Id="rId128" Type="http://schemas.openxmlformats.org/officeDocument/2006/relationships/hyperlink" Target="http://B018@qq.com" TargetMode="External"/><Relationship Id="rId149" Type="http://schemas.openxmlformats.org/officeDocument/2006/relationships/hyperlink" Target="http://D028@qq.com" TargetMode="External"/><Relationship Id="rId5" Type="http://schemas.openxmlformats.org/officeDocument/2006/relationships/hyperlink" Target="http://B007@qq.com" TargetMode="External"/><Relationship Id="rId95" Type="http://schemas.openxmlformats.org/officeDocument/2006/relationships/hyperlink" Target="http://C019@qq.com" TargetMode="External"/><Relationship Id="rId22" Type="http://schemas.openxmlformats.org/officeDocument/2006/relationships/hyperlink" Target="http://A017@qq.com" TargetMode="External"/><Relationship Id="rId27" Type="http://schemas.openxmlformats.org/officeDocument/2006/relationships/hyperlink" Target="http://A016@qq.com" TargetMode="External"/><Relationship Id="rId43" Type="http://schemas.openxmlformats.org/officeDocument/2006/relationships/hyperlink" Target="http://A021@qq.com" TargetMode="External"/><Relationship Id="rId48" Type="http://schemas.openxmlformats.org/officeDocument/2006/relationships/hyperlink" Target="http://B026@qq.com" TargetMode="External"/><Relationship Id="rId64" Type="http://schemas.openxmlformats.org/officeDocument/2006/relationships/hyperlink" Target="http://D033@qq.com" TargetMode="External"/><Relationship Id="rId69" Type="http://schemas.openxmlformats.org/officeDocument/2006/relationships/hyperlink" Target="http://B025@qq.com" TargetMode="External"/><Relationship Id="rId113" Type="http://schemas.openxmlformats.org/officeDocument/2006/relationships/hyperlink" Target="http://C030@qq.com" TargetMode="External"/><Relationship Id="rId118" Type="http://schemas.openxmlformats.org/officeDocument/2006/relationships/hyperlink" Target="http://D014@qq.com" TargetMode="External"/><Relationship Id="rId134" Type="http://schemas.openxmlformats.org/officeDocument/2006/relationships/hyperlink" Target="http://D029@qq.com" TargetMode="External"/><Relationship Id="rId139" Type="http://schemas.openxmlformats.org/officeDocument/2006/relationships/hyperlink" Target="http://B003@qq.com" TargetMode="External"/><Relationship Id="rId80" Type="http://schemas.openxmlformats.org/officeDocument/2006/relationships/hyperlink" Target="http://C013@qq.com" TargetMode="External"/><Relationship Id="rId85" Type="http://schemas.openxmlformats.org/officeDocument/2006/relationships/hyperlink" Target="http://D009@qq.com" TargetMode="External"/><Relationship Id="rId150" Type="http://schemas.openxmlformats.org/officeDocument/2006/relationships/hyperlink" Target="http://B013@qq.com" TargetMode="External"/><Relationship Id="rId155" Type="http://schemas.openxmlformats.org/officeDocument/2006/relationships/hyperlink" Target="http://D001@qq.com" TargetMode="External"/><Relationship Id="rId12" Type="http://schemas.openxmlformats.org/officeDocument/2006/relationships/hyperlink" Target="http://B005@qq.com" TargetMode="External"/><Relationship Id="rId17" Type="http://schemas.openxmlformats.org/officeDocument/2006/relationships/hyperlink" Target="http://A006@qq.com" TargetMode="External"/><Relationship Id="rId33" Type="http://schemas.openxmlformats.org/officeDocument/2006/relationships/hyperlink" Target="http://B020@qq.com" TargetMode="External"/><Relationship Id="rId38" Type="http://schemas.openxmlformats.org/officeDocument/2006/relationships/hyperlink" Target="http://B004@qq.com" TargetMode="External"/><Relationship Id="rId59" Type="http://schemas.openxmlformats.org/officeDocument/2006/relationships/hyperlink" Target="http://D012@qq.com" TargetMode="External"/><Relationship Id="rId103" Type="http://schemas.openxmlformats.org/officeDocument/2006/relationships/hyperlink" Target="http://B031@qq.com" TargetMode="External"/><Relationship Id="rId108" Type="http://schemas.openxmlformats.org/officeDocument/2006/relationships/hyperlink" Target="http://C009@qq.com" TargetMode="External"/><Relationship Id="rId124" Type="http://schemas.openxmlformats.org/officeDocument/2006/relationships/hyperlink" Target="http://D016@qq.com" TargetMode="External"/><Relationship Id="rId129" Type="http://schemas.openxmlformats.org/officeDocument/2006/relationships/hyperlink" Target="http://D035@qq.com" TargetMode="External"/><Relationship Id="rId54" Type="http://schemas.openxmlformats.org/officeDocument/2006/relationships/hyperlink" Target="http://D031@qq.com" TargetMode="External"/><Relationship Id="rId70" Type="http://schemas.openxmlformats.org/officeDocument/2006/relationships/hyperlink" Target="http://B034@qq.com" TargetMode="External"/><Relationship Id="rId75" Type="http://schemas.openxmlformats.org/officeDocument/2006/relationships/hyperlink" Target="http://D038@qq.com" TargetMode="External"/><Relationship Id="rId91" Type="http://schemas.openxmlformats.org/officeDocument/2006/relationships/hyperlink" Target="http://C026@qq.com" TargetMode="External"/><Relationship Id="rId96" Type="http://schemas.openxmlformats.org/officeDocument/2006/relationships/hyperlink" Target="http://B014@qq.com" TargetMode="External"/><Relationship Id="rId140" Type="http://schemas.openxmlformats.org/officeDocument/2006/relationships/hyperlink" Target="http://B039@qq.com" TargetMode="External"/><Relationship Id="rId145" Type="http://schemas.openxmlformats.org/officeDocument/2006/relationships/hyperlink" Target="http://D005@qq.com" TargetMode="External"/><Relationship Id="rId1" Type="http://schemas.openxmlformats.org/officeDocument/2006/relationships/hyperlink" Target="http://A036@qq.com" TargetMode="External"/><Relationship Id="rId6" Type="http://schemas.openxmlformats.org/officeDocument/2006/relationships/hyperlink" Target="http://A026@qq.com" TargetMode="External"/><Relationship Id="rId23" Type="http://schemas.openxmlformats.org/officeDocument/2006/relationships/hyperlink" Target="http://A024@qq.com" TargetMode="External"/><Relationship Id="rId28" Type="http://schemas.openxmlformats.org/officeDocument/2006/relationships/hyperlink" Target="http://A030@qq.com" TargetMode="External"/><Relationship Id="rId49" Type="http://schemas.openxmlformats.org/officeDocument/2006/relationships/hyperlink" Target="http://D019@qq.com" TargetMode="External"/><Relationship Id="rId114" Type="http://schemas.openxmlformats.org/officeDocument/2006/relationships/hyperlink" Target="http://D013@qq.com" TargetMode="External"/><Relationship Id="rId119" Type="http://schemas.openxmlformats.org/officeDocument/2006/relationships/hyperlink" Target="http://B037@qq.com" TargetMode="External"/><Relationship Id="rId44" Type="http://schemas.openxmlformats.org/officeDocument/2006/relationships/hyperlink" Target="http://D034@qq.com" TargetMode="External"/><Relationship Id="rId60" Type="http://schemas.openxmlformats.org/officeDocument/2006/relationships/hyperlink" Target="http://C017@qq.com" TargetMode="External"/><Relationship Id="rId65" Type="http://schemas.openxmlformats.org/officeDocument/2006/relationships/hyperlink" Target="http://D026@qq.com" TargetMode="External"/><Relationship Id="rId81" Type="http://schemas.openxmlformats.org/officeDocument/2006/relationships/hyperlink" Target="http://B001@qq.com" TargetMode="External"/><Relationship Id="rId86" Type="http://schemas.openxmlformats.org/officeDocument/2006/relationships/hyperlink" Target="http://C002@qq.com" TargetMode="External"/><Relationship Id="rId130" Type="http://schemas.openxmlformats.org/officeDocument/2006/relationships/hyperlink" Target="http://B017@qq.com" TargetMode="External"/><Relationship Id="rId135" Type="http://schemas.openxmlformats.org/officeDocument/2006/relationships/hyperlink" Target="http://D039@qq.com" TargetMode="External"/><Relationship Id="rId151" Type="http://schemas.openxmlformats.org/officeDocument/2006/relationships/hyperlink" Target="http://D022@qq.com" TargetMode="External"/><Relationship Id="rId156" Type="http://schemas.openxmlformats.org/officeDocument/2006/relationships/hyperlink" Target="http://D007@qq.com" TargetMode="External"/><Relationship Id="rId13" Type="http://schemas.openxmlformats.org/officeDocument/2006/relationships/hyperlink" Target="http://B021@qq.com" TargetMode="External"/><Relationship Id="rId18" Type="http://schemas.openxmlformats.org/officeDocument/2006/relationships/hyperlink" Target="http://D025@qq.com" TargetMode="External"/><Relationship Id="rId39" Type="http://schemas.openxmlformats.org/officeDocument/2006/relationships/hyperlink" Target="http://B042@qq.com" TargetMode="External"/><Relationship Id="rId109" Type="http://schemas.openxmlformats.org/officeDocument/2006/relationships/hyperlink" Target="http://B040@qq.com" TargetMode="External"/><Relationship Id="rId34" Type="http://schemas.openxmlformats.org/officeDocument/2006/relationships/hyperlink" Target="http://C023@qq.com" TargetMode="External"/><Relationship Id="rId50" Type="http://schemas.openxmlformats.org/officeDocument/2006/relationships/hyperlink" Target="http://C007@qq.com" TargetMode="External"/><Relationship Id="rId55" Type="http://schemas.openxmlformats.org/officeDocument/2006/relationships/hyperlink" Target="http://C028@qq.com" TargetMode="External"/><Relationship Id="rId76" Type="http://schemas.openxmlformats.org/officeDocument/2006/relationships/hyperlink" Target="http://C034@qq.com" TargetMode="External"/><Relationship Id="rId97" Type="http://schemas.openxmlformats.org/officeDocument/2006/relationships/hyperlink" Target="http://C011@qq.com" TargetMode="External"/><Relationship Id="rId104" Type="http://schemas.openxmlformats.org/officeDocument/2006/relationships/hyperlink" Target="http://B030@qq.com" TargetMode="External"/><Relationship Id="rId120" Type="http://schemas.openxmlformats.org/officeDocument/2006/relationships/hyperlink" Target="http://A042@qq.com" TargetMode="External"/><Relationship Id="rId125" Type="http://schemas.openxmlformats.org/officeDocument/2006/relationships/hyperlink" Target="http://B006@qq.com" TargetMode="External"/><Relationship Id="rId141" Type="http://schemas.openxmlformats.org/officeDocument/2006/relationships/hyperlink" Target="http://C040@qq.com" TargetMode="External"/><Relationship Id="rId146" Type="http://schemas.openxmlformats.org/officeDocument/2006/relationships/hyperlink" Target="http://D024@qq.com" TargetMode="External"/><Relationship Id="rId7" Type="http://schemas.openxmlformats.org/officeDocument/2006/relationships/hyperlink" Target="http://A001@qq.com" TargetMode="External"/><Relationship Id="rId71" Type="http://schemas.openxmlformats.org/officeDocument/2006/relationships/hyperlink" Target="http://A028@qq.com" TargetMode="External"/><Relationship Id="rId92" Type="http://schemas.openxmlformats.org/officeDocument/2006/relationships/hyperlink" Target="http://D008@qq.com" TargetMode="External"/><Relationship Id="rId2" Type="http://schemas.openxmlformats.org/officeDocument/2006/relationships/hyperlink" Target="http://A015@qq.com" TargetMode="External"/><Relationship Id="rId29" Type="http://schemas.openxmlformats.org/officeDocument/2006/relationships/hyperlink" Target="http://B036@qq.com" TargetMode="External"/><Relationship Id="rId24" Type="http://schemas.openxmlformats.org/officeDocument/2006/relationships/hyperlink" Target="http://C027@qq.com" TargetMode="External"/><Relationship Id="rId40" Type="http://schemas.openxmlformats.org/officeDocument/2006/relationships/hyperlink" Target="http://A020@qq.com" TargetMode="External"/><Relationship Id="rId45" Type="http://schemas.openxmlformats.org/officeDocument/2006/relationships/hyperlink" Target="http://A019@qq.com" TargetMode="External"/><Relationship Id="rId66" Type="http://schemas.openxmlformats.org/officeDocument/2006/relationships/hyperlink" Target="http://D018@qq.com" TargetMode="External"/><Relationship Id="rId87" Type="http://schemas.openxmlformats.org/officeDocument/2006/relationships/hyperlink" Target="http://D021@qq.com" TargetMode="External"/><Relationship Id="rId110" Type="http://schemas.openxmlformats.org/officeDocument/2006/relationships/hyperlink" Target="http://D015@qq.com" TargetMode="External"/><Relationship Id="rId115" Type="http://schemas.openxmlformats.org/officeDocument/2006/relationships/hyperlink" Target="http://D003@qq.com" TargetMode="External"/><Relationship Id="rId131" Type="http://schemas.openxmlformats.org/officeDocument/2006/relationships/hyperlink" Target="http://A040@qq.com" TargetMode="External"/><Relationship Id="rId136" Type="http://schemas.openxmlformats.org/officeDocument/2006/relationships/hyperlink" Target="http://C021@qq.com" TargetMode="External"/><Relationship Id="rId61" Type="http://schemas.openxmlformats.org/officeDocument/2006/relationships/hyperlink" Target="http://C015@qq.com" TargetMode="External"/><Relationship Id="rId82" Type="http://schemas.openxmlformats.org/officeDocument/2006/relationships/hyperlink" Target="http://D030@qq.com" TargetMode="External"/><Relationship Id="rId152" Type="http://schemas.openxmlformats.org/officeDocument/2006/relationships/hyperlink" Target="http://C041@qq.com" TargetMode="External"/><Relationship Id="rId19" Type="http://schemas.openxmlformats.org/officeDocument/2006/relationships/hyperlink" Target="http://A031@qq.com" TargetMode="External"/><Relationship Id="rId14" Type="http://schemas.openxmlformats.org/officeDocument/2006/relationships/hyperlink" Target="http://A010@qq.com" TargetMode="External"/><Relationship Id="rId30" Type="http://schemas.openxmlformats.org/officeDocument/2006/relationships/hyperlink" Target="http://B019@qq.com" TargetMode="External"/><Relationship Id="rId35" Type="http://schemas.openxmlformats.org/officeDocument/2006/relationships/hyperlink" Target="http://B008@qq.com" TargetMode="External"/><Relationship Id="rId56" Type="http://schemas.openxmlformats.org/officeDocument/2006/relationships/hyperlink" Target="http://C018@qq.com" TargetMode="External"/><Relationship Id="rId77" Type="http://schemas.openxmlformats.org/officeDocument/2006/relationships/hyperlink" Target="http://teacher@qq.com" TargetMode="External"/><Relationship Id="rId100" Type="http://schemas.openxmlformats.org/officeDocument/2006/relationships/hyperlink" Target="http://A033@qq.com" TargetMode="External"/><Relationship Id="rId105" Type="http://schemas.openxmlformats.org/officeDocument/2006/relationships/hyperlink" Target="http://A029@qq.com" TargetMode="External"/><Relationship Id="rId126" Type="http://schemas.openxmlformats.org/officeDocument/2006/relationships/hyperlink" Target="http://B035@qq.com" TargetMode="External"/><Relationship Id="rId147" Type="http://schemas.openxmlformats.org/officeDocument/2006/relationships/hyperlink" Target="http://B016@qq.com" TargetMode="External"/><Relationship Id="rId8" Type="http://schemas.openxmlformats.org/officeDocument/2006/relationships/hyperlink" Target="http://A004@qq.com" TargetMode="External"/><Relationship Id="rId51" Type="http://schemas.openxmlformats.org/officeDocument/2006/relationships/hyperlink" Target="http://C006@qq.com" TargetMode="External"/><Relationship Id="rId72" Type="http://schemas.openxmlformats.org/officeDocument/2006/relationships/hyperlink" Target="http://B011@qq.com" TargetMode="External"/><Relationship Id="rId93" Type="http://schemas.openxmlformats.org/officeDocument/2006/relationships/hyperlink" Target="http://D027@qq.com" TargetMode="External"/><Relationship Id="rId98" Type="http://schemas.openxmlformats.org/officeDocument/2006/relationships/hyperlink" Target="http://B010@qq.com" TargetMode="External"/><Relationship Id="rId121" Type="http://schemas.openxmlformats.org/officeDocument/2006/relationships/hyperlink" Target="http://C042@qq.com" TargetMode="External"/><Relationship Id="rId142" Type="http://schemas.openxmlformats.org/officeDocument/2006/relationships/hyperlink" Target="http://A032@qq.com" TargetMode="External"/><Relationship Id="rId3" Type="http://schemas.openxmlformats.org/officeDocument/2006/relationships/hyperlink" Target="http://B015@qq.com" TargetMode="External"/><Relationship Id="rId25" Type="http://schemas.openxmlformats.org/officeDocument/2006/relationships/hyperlink" Target="http://A007@qq.com" TargetMode="External"/><Relationship Id="rId46" Type="http://schemas.openxmlformats.org/officeDocument/2006/relationships/hyperlink" Target="http://A008@qq.com" TargetMode="External"/><Relationship Id="rId67" Type="http://schemas.openxmlformats.org/officeDocument/2006/relationships/hyperlink" Target="http://B032@qq.com" TargetMode="External"/><Relationship Id="rId116" Type="http://schemas.openxmlformats.org/officeDocument/2006/relationships/hyperlink" Target="http://B012@qq.com" TargetMode="External"/><Relationship Id="rId137" Type="http://schemas.openxmlformats.org/officeDocument/2006/relationships/hyperlink" Target="http://B043@qq.com" TargetMode="External"/><Relationship Id="rId20" Type="http://schemas.openxmlformats.org/officeDocument/2006/relationships/hyperlink" Target="http://A038@qq.com" TargetMode="External"/><Relationship Id="rId41" Type="http://schemas.openxmlformats.org/officeDocument/2006/relationships/hyperlink" Target="http://C031@qq.com" TargetMode="External"/><Relationship Id="rId62" Type="http://schemas.openxmlformats.org/officeDocument/2006/relationships/hyperlink" Target="http://D004@qq.com" TargetMode="External"/><Relationship Id="rId83" Type="http://schemas.openxmlformats.org/officeDocument/2006/relationships/hyperlink" Target="http://A011@qq.com" TargetMode="External"/><Relationship Id="rId88" Type="http://schemas.openxmlformats.org/officeDocument/2006/relationships/hyperlink" Target="http://C005@qq.com" TargetMode="External"/><Relationship Id="rId111" Type="http://schemas.openxmlformats.org/officeDocument/2006/relationships/hyperlink" Target="http://D036@qq.com" TargetMode="External"/><Relationship Id="rId132" Type="http://schemas.openxmlformats.org/officeDocument/2006/relationships/hyperlink" Target="http://D002@qq.com" TargetMode="External"/><Relationship Id="rId153" Type="http://schemas.openxmlformats.org/officeDocument/2006/relationships/hyperlink" Target="http://C024@qq.com" TargetMode="External"/><Relationship Id="rId15" Type="http://schemas.openxmlformats.org/officeDocument/2006/relationships/hyperlink" Target="http://B033@qq.com" TargetMode="External"/><Relationship Id="rId36" Type="http://schemas.openxmlformats.org/officeDocument/2006/relationships/hyperlink" Target="http://A035@qq.com" TargetMode="External"/><Relationship Id="rId57" Type="http://schemas.openxmlformats.org/officeDocument/2006/relationships/hyperlink" Target="http://C038@qq.com" TargetMode="External"/><Relationship Id="rId106" Type="http://schemas.openxmlformats.org/officeDocument/2006/relationships/hyperlink" Target="http://C001@qq.com" TargetMode="External"/><Relationship Id="rId127" Type="http://schemas.openxmlformats.org/officeDocument/2006/relationships/hyperlink" Target="http://C025@qq.com" TargetMode="External"/><Relationship Id="rId10" Type="http://schemas.openxmlformats.org/officeDocument/2006/relationships/hyperlink" Target="http://A002@qq.com" TargetMode="External"/><Relationship Id="rId31" Type="http://schemas.openxmlformats.org/officeDocument/2006/relationships/hyperlink" Target="http://B023@qq.com" TargetMode="External"/><Relationship Id="rId52" Type="http://schemas.openxmlformats.org/officeDocument/2006/relationships/hyperlink" Target="http://A023@qq.com" TargetMode="External"/><Relationship Id="rId73" Type="http://schemas.openxmlformats.org/officeDocument/2006/relationships/hyperlink" Target="http://A039@qq.com" TargetMode="External"/><Relationship Id="rId78" Type="http://schemas.openxmlformats.org/officeDocument/2006/relationships/hyperlink" Target="http://B029@qq.com" TargetMode="External"/><Relationship Id="rId94" Type="http://schemas.openxmlformats.org/officeDocument/2006/relationships/hyperlink" Target="http://C004@qq.com" TargetMode="External"/><Relationship Id="rId99" Type="http://schemas.openxmlformats.org/officeDocument/2006/relationships/hyperlink" Target="http://C012@qq.com" TargetMode="External"/><Relationship Id="rId101" Type="http://schemas.openxmlformats.org/officeDocument/2006/relationships/hyperlink" Target="http://C020@qq.com" TargetMode="External"/><Relationship Id="rId122" Type="http://schemas.openxmlformats.org/officeDocument/2006/relationships/hyperlink" Target="http://C029@qq.com" TargetMode="External"/><Relationship Id="rId143" Type="http://schemas.openxmlformats.org/officeDocument/2006/relationships/hyperlink" Target="http://C032@qq.com" TargetMode="External"/><Relationship Id="rId148" Type="http://schemas.openxmlformats.org/officeDocument/2006/relationships/hyperlink" Target="http://D037@qq.com" TargetMode="External"/><Relationship Id="rId4" Type="http://schemas.openxmlformats.org/officeDocument/2006/relationships/hyperlink" Target="http://A022@qq.com" TargetMode="External"/><Relationship Id="rId9" Type="http://schemas.openxmlformats.org/officeDocument/2006/relationships/hyperlink" Target="http://A043@qq.com" TargetMode="External"/><Relationship Id="rId26" Type="http://schemas.openxmlformats.org/officeDocument/2006/relationships/hyperlink" Target="http://A034@qq.com" TargetMode="External"/><Relationship Id="rId47" Type="http://schemas.openxmlformats.org/officeDocument/2006/relationships/hyperlink" Target="http://A013@qq.com" TargetMode="External"/><Relationship Id="rId68" Type="http://schemas.openxmlformats.org/officeDocument/2006/relationships/hyperlink" Target="http://B038@qq.com" TargetMode="External"/><Relationship Id="rId89" Type="http://schemas.openxmlformats.org/officeDocument/2006/relationships/hyperlink" Target="http://C003@qq.com" TargetMode="External"/><Relationship Id="rId112" Type="http://schemas.openxmlformats.org/officeDocument/2006/relationships/hyperlink" Target="http://A012@qq.com" TargetMode="External"/><Relationship Id="rId133" Type="http://schemas.openxmlformats.org/officeDocument/2006/relationships/hyperlink" Target="http://C010@qq.com" TargetMode="External"/><Relationship Id="rId154" Type="http://schemas.openxmlformats.org/officeDocument/2006/relationships/hyperlink" Target="http://A003@qq.com" TargetMode="External"/><Relationship Id="rId16" Type="http://schemas.openxmlformats.org/officeDocument/2006/relationships/hyperlink" Target="http://A009@qq.com" TargetMode="External"/><Relationship Id="rId37" Type="http://schemas.openxmlformats.org/officeDocument/2006/relationships/hyperlink" Target="http://A014@qq.com" TargetMode="External"/><Relationship Id="rId58" Type="http://schemas.openxmlformats.org/officeDocument/2006/relationships/hyperlink" Target="http://D040@qq.com" TargetMode="External"/><Relationship Id="rId79" Type="http://schemas.openxmlformats.org/officeDocument/2006/relationships/hyperlink" Target="http://C008@qq.com" TargetMode="External"/><Relationship Id="rId102" Type="http://schemas.openxmlformats.org/officeDocument/2006/relationships/hyperlink" Target="http://A041@qq.com" TargetMode="External"/><Relationship Id="rId123" Type="http://schemas.openxmlformats.org/officeDocument/2006/relationships/hyperlink" Target="http://C035@qq.com" TargetMode="External"/><Relationship Id="rId144" Type="http://schemas.openxmlformats.org/officeDocument/2006/relationships/hyperlink" Target="http://C022@qq.com" TargetMode="External"/><Relationship Id="rId90" Type="http://schemas.openxmlformats.org/officeDocument/2006/relationships/hyperlink" Target="http://B022@qq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D029@qq.com" TargetMode="External"/><Relationship Id="rId21" Type="http://schemas.openxmlformats.org/officeDocument/2006/relationships/hyperlink" Target="http://A001@qq.com" TargetMode="External"/><Relationship Id="rId42" Type="http://schemas.openxmlformats.org/officeDocument/2006/relationships/hyperlink" Target="http://A018@qq.com" TargetMode="External"/><Relationship Id="rId63" Type="http://schemas.openxmlformats.org/officeDocument/2006/relationships/hyperlink" Target="http://B020@qq.com" TargetMode="External"/><Relationship Id="rId84" Type="http://schemas.openxmlformats.org/officeDocument/2006/relationships/hyperlink" Target="http://C004@qq.com" TargetMode="External"/><Relationship Id="rId138" Type="http://schemas.openxmlformats.org/officeDocument/2006/relationships/hyperlink" Target="http://D037@qq.com" TargetMode="External"/><Relationship Id="rId159" Type="http://schemas.openxmlformats.org/officeDocument/2006/relationships/hyperlink" Target="http://C023@qq.com" TargetMode="External"/><Relationship Id="rId107" Type="http://schemas.openxmlformats.org/officeDocument/2006/relationships/hyperlink" Target="http://B001@qq.com" TargetMode="External"/><Relationship Id="rId11" Type="http://schemas.openxmlformats.org/officeDocument/2006/relationships/hyperlink" Target="http://A025@qq.com" TargetMode="External"/><Relationship Id="rId32" Type="http://schemas.openxmlformats.org/officeDocument/2006/relationships/hyperlink" Target="http://A017@qq.com" TargetMode="External"/><Relationship Id="rId53" Type="http://schemas.openxmlformats.org/officeDocument/2006/relationships/hyperlink" Target="http://B013@qq.com" TargetMode="External"/><Relationship Id="rId74" Type="http://schemas.openxmlformats.org/officeDocument/2006/relationships/hyperlink" Target="http://B031@qq.com" TargetMode="External"/><Relationship Id="rId128" Type="http://schemas.openxmlformats.org/officeDocument/2006/relationships/hyperlink" Target="http://C030@qq.com" TargetMode="External"/><Relationship Id="rId149" Type="http://schemas.openxmlformats.org/officeDocument/2006/relationships/hyperlink" Target="http://C021@qq.com" TargetMode="External"/><Relationship Id="rId5" Type="http://schemas.openxmlformats.org/officeDocument/2006/relationships/hyperlink" Target="http://A038@qq.com" TargetMode="External"/><Relationship Id="rId95" Type="http://schemas.openxmlformats.org/officeDocument/2006/relationships/hyperlink" Target="http://C034@qq.com" TargetMode="External"/><Relationship Id="rId160" Type="http://schemas.openxmlformats.org/officeDocument/2006/relationships/hyperlink" Target="http://D021@qq.com" TargetMode="External"/><Relationship Id="rId22" Type="http://schemas.openxmlformats.org/officeDocument/2006/relationships/hyperlink" Target="http://C003@qq.com" TargetMode="External"/><Relationship Id="rId43" Type="http://schemas.openxmlformats.org/officeDocument/2006/relationships/hyperlink" Target="http://C033@qq.com" TargetMode="External"/><Relationship Id="rId64" Type="http://schemas.openxmlformats.org/officeDocument/2006/relationships/hyperlink" Target="http://A015@qq.com" TargetMode="External"/><Relationship Id="rId118" Type="http://schemas.openxmlformats.org/officeDocument/2006/relationships/hyperlink" Target="http://B043@qq.com" TargetMode="External"/><Relationship Id="rId139" Type="http://schemas.openxmlformats.org/officeDocument/2006/relationships/hyperlink" Target="http://D036@qq.com" TargetMode="External"/><Relationship Id="rId85" Type="http://schemas.openxmlformats.org/officeDocument/2006/relationships/hyperlink" Target="http://D039@qq.com" TargetMode="External"/><Relationship Id="rId150" Type="http://schemas.openxmlformats.org/officeDocument/2006/relationships/hyperlink" Target="http://C039@qq.com" TargetMode="External"/><Relationship Id="rId12" Type="http://schemas.openxmlformats.org/officeDocument/2006/relationships/hyperlink" Target="http://A010@qq.com" TargetMode="External"/><Relationship Id="rId17" Type="http://schemas.openxmlformats.org/officeDocument/2006/relationships/hyperlink" Target="http://B042@qq.com" TargetMode="External"/><Relationship Id="rId33" Type="http://schemas.openxmlformats.org/officeDocument/2006/relationships/hyperlink" Target="http://D019@qq.com" TargetMode="External"/><Relationship Id="rId38" Type="http://schemas.openxmlformats.org/officeDocument/2006/relationships/hyperlink" Target="http://C028@qq.com" TargetMode="External"/><Relationship Id="rId59" Type="http://schemas.openxmlformats.org/officeDocument/2006/relationships/hyperlink" Target="http://D040@qq.com" TargetMode="External"/><Relationship Id="rId103" Type="http://schemas.openxmlformats.org/officeDocument/2006/relationships/hyperlink" Target="http://B017@qq.com" TargetMode="External"/><Relationship Id="rId108" Type="http://schemas.openxmlformats.org/officeDocument/2006/relationships/hyperlink" Target="http://A024@qq.com" TargetMode="External"/><Relationship Id="rId124" Type="http://schemas.openxmlformats.org/officeDocument/2006/relationships/hyperlink" Target="http://C042@qq.com" TargetMode="External"/><Relationship Id="rId129" Type="http://schemas.openxmlformats.org/officeDocument/2006/relationships/hyperlink" Target="http://D027@qq.com" TargetMode="External"/><Relationship Id="rId54" Type="http://schemas.openxmlformats.org/officeDocument/2006/relationships/hyperlink" Target="http://D041@qq.com" TargetMode="External"/><Relationship Id="rId70" Type="http://schemas.openxmlformats.org/officeDocument/2006/relationships/hyperlink" Target="http://A033@qq.com" TargetMode="External"/><Relationship Id="rId75" Type="http://schemas.openxmlformats.org/officeDocument/2006/relationships/hyperlink" Target="http://D018@qq.com" TargetMode="External"/><Relationship Id="rId91" Type="http://schemas.openxmlformats.org/officeDocument/2006/relationships/hyperlink" Target="http://B006@qq.com" TargetMode="External"/><Relationship Id="rId96" Type="http://schemas.openxmlformats.org/officeDocument/2006/relationships/hyperlink" Target="http://A029@qq.com" TargetMode="External"/><Relationship Id="rId140" Type="http://schemas.openxmlformats.org/officeDocument/2006/relationships/hyperlink" Target="http://C007@qq.com" TargetMode="External"/><Relationship Id="rId145" Type="http://schemas.openxmlformats.org/officeDocument/2006/relationships/hyperlink" Target="http://B039@qq.com" TargetMode="External"/><Relationship Id="rId161" Type="http://schemas.openxmlformats.org/officeDocument/2006/relationships/hyperlink" Target="http://D011@qq.com" TargetMode="External"/><Relationship Id="rId1" Type="http://schemas.openxmlformats.org/officeDocument/2006/relationships/hyperlink" Target="http://A011@qq.com" TargetMode="External"/><Relationship Id="rId6" Type="http://schemas.openxmlformats.org/officeDocument/2006/relationships/hyperlink" Target="http://B010@qq.com" TargetMode="External"/><Relationship Id="rId23" Type="http://schemas.openxmlformats.org/officeDocument/2006/relationships/hyperlink" Target="http://B038@qq.com" TargetMode="External"/><Relationship Id="rId28" Type="http://schemas.openxmlformats.org/officeDocument/2006/relationships/hyperlink" Target="http://B036@qq.com" TargetMode="External"/><Relationship Id="rId49" Type="http://schemas.openxmlformats.org/officeDocument/2006/relationships/hyperlink" Target="http://B002@qq.com" TargetMode="External"/><Relationship Id="rId114" Type="http://schemas.openxmlformats.org/officeDocument/2006/relationships/hyperlink" Target="http://D012@qq.com" TargetMode="External"/><Relationship Id="rId119" Type="http://schemas.openxmlformats.org/officeDocument/2006/relationships/hyperlink" Target="http://C010@qq.com" TargetMode="External"/><Relationship Id="rId44" Type="http://schemas.openxmlformats.org/officeDocument/2006/relationships/hyperlink" Target="http://D031@qq.com" TargetMode="External"/><Relationship Id="rId60" Type="http://schemas.openxmlformats.org/officeDocument/2006/relationships/hyperlink" Target="http://C017@qq.com" TargetMode="External"/><Relationship Id="rId65" Type="http://schemas.openxmlformats.org/officeDocument/2006/relationships/hyperlink" Target="http://A037@qq.com" TargetMode="External"/><Relationship Id="rId81" Type="http://schemas.openxmlformats.org/officeDocument/2006/relationships/hyperlink" Target="http://A023@qq.com" TargetMode="External"/><Relationship Id="rId86" Type="http://schemas.openxmlformats.org/officeDocument/2006/relationships/hyperlink" Target="http://C018@qq.com" TargetMode="External"/><Relationship Id="rId130" Type="http://schemas.openxmlformats.org/officeDocument/2006/relationships/hyperlink" Target="http://C035@qq.com" TargetMode="External"/><Relationship Id="rId135" Type="http://schemas.openxmlformats.org/officeDocument/2006/relationships/hyperlink" Target="http://D024@qq.com" TargetMode="External"/><Relationship Id="rId151" Type="http://schemas.openxmlformats.org/officeDocument/2006/relationships/hyperlink" Target="http://D045@qq.com" TargetMode="External"/><Relationship Id="rId156" Type="http://schemas.openxmlformats.org/officeDocument/2006/relationships/hyperlink" Target="http://D044@qq.com" TargetMode="External"/><Relationship Id="rId13" Type="http://schemas.openxmlformats.org/officeDocument/2006/relationships/hyperlink" Target="http://A031@qq.com" TargetMode="External"/><Relationship Id="rId18" Type="http://schemas.openxmlformats.org/officeDocument/2006/relationships/hyperlink" Target="http://C011@qq.com" TargetMode="External"/><Relationship Id="rId39" Type="http://schemas.openxmlformats.org/officeDocument/2006/relationships/hyperlink" Target="http://A019@qq.com" TargetMode="External"/><Relationship Id="rId109" Type="http://schemas.openxmlformats.org/officeDocument/2006/relationships/hyperlink" Target="http://C027@qq.com" TargetMode="External"/><Relationship Id="rId34" Type="http://schemas.openxmlformats.org/officeDocument/2006/relationships/hyperlink" Target="http://A009@qq.com" TargetMode="External"/><Relationship Id="rId50" Type="http://schemas.openxmlformats.org/officeDocument/2006/relationships/hyperlink" Target="http://B028@qq.com" TargetMode="External"/><Relationship Id="rId55" Type="http://schemas.openxmlformats.org/officeDocument/2006/relationships/hyperlink" Target="http://B033@qq.com" TargetMode="External"/><Relationship Id="rId76" Type="http://schemas.openxmlformats.org/officeDocument/2006/relationships/hyperlink" Target="http://A040@qq.com" TargetMode="External"/><Relationship Id="rId97" Type="http://schemas.openxmlformats.org/officeDocument/2006/relationships/hyperlink" Target="http://B023@qq.com" TargetMode="External"/><Relationship Id="rId104" Type="http://schemas.openxmlformats.org/officeDocument/2006/relationships/hyperlink" Target="http://B004@qq.com" TargetMode="External"/><Relationship Id="rId120" Type="http://schemas.openxmlformats.org/officeDocument/2006/relationships/hyperlink" Target="http://C012@qq.com" TargetMode="External"/><Relationship Id="rId125" Type="http://schemas.openxmlformats.org/officeDocument/2006/relationships/hyperlink" Target="http://B011@qq.com" TargetMode="External"/><Relationship Id="rId141" Type="http://schemas.openxmlformats.org/officeDocument/2006/relationships/hyperlink" Target="http://D038@qq.com" TargetMode="External"/><Relationship Id="rId146" Type="http://schemas.openxmlformats.org/officeDocument/2006/relationships/hyperlink" Target="http://D001@qq.com" TargetMode="External"/><Relationship Id="rId7" Type="http://schemas.openxmlformats.org/officeDocument/2006/relationships/hyperlink" Target="http://A014@qq.com" TargetMode="External"/><Relationship Id="rId71" Type="http://schemas.openxmlformats.org/officeDocument/2006/relationships/hyperlink" Target="http://A012@qq.com" TargetMode="External"/><Relationship Id="rId92" Type="http://schemas.openxmlformats.org/officeDocument/2006/relationships/hyperlink" Target="http://A032@qq.com" TargetMode="External"/><Relationship Id="rId162" Type="http://schemas.openxmlformats.org/officeDocument/2006/relationships/hyperlink" Target="http://C020@qq.com" TargetMode="External"/><Relationship Id="rId2" Type="http://schemas.openxmlformats.org/officeDocument/2006/relationships/hyperlink" Target="http://A036@qq.com" TargetMode="External"/><Relationship Id="rId29" Type="http://schemas.openxmlformats.org/officeDocument/2006/relationships/hyperlink" Target="http://B019@qq.com" TargetMode="External"/><Relationship Id="rId24" Type="http://schemas.openxmlformats.org/officeDocument/2006/relationships/hyperlink" Target="http://A041@qq.com" TargetMode="External"/><Relationship Id="rId40" Type="http://schemas.openxmlformats.org/officeDocument/2006/relationships/hyperlink" Target="http://C013@qq.com" TargetMode="External"/><Relationship Id="rId45" Type="http://schemas.openxmlformats.org/officeDocument/2006/relationships/hyperlink" Target="http://B025@qq.com" TargetMode="External"/><Relationship Id="rId66" Type="http://schemas.openxmlformats.org/officeDocument/2006/relationships/hyperlink" Target="http://C009@qq.com" TargetMode="External"/><Relationship Id="rId87" Type="http://schemas.openxmlformats.org/officeDocument/2006/relationships/hyperlink" Target="http://A043@qq.com" TargetMode="External"/><Relationship Id="rId110" Type="http://schemas.openxmlformats.org/officeDocument/2006/relationships/hyperlink" Target="http://B012@qq.com" TargetMode="External"/><Relationship Id="rId115" Type="http://schemas.openxmlformats.org/officeDocument/2006/relationships/hyperlink" Target="http://D016@qq.com" TargetMode="External"/><Relationship Id="rId131" Type="http://schemas.openxmlformats.org/officeDocument/2006/relationships/hyperlink" Target="http://D015@qq.com" TargetMode="External"/><Relationship Id="rId136" Type="http://schemas.openxmlformats.org/officeDocument/2006/relationships/hyperlink" Target="http://C026@qq.com" TargetMode="External"/><Relationship Id="rId157" Type="http://schemas.openxmlformats.org/officeDocument/2006/relationships/hyperlink" Target="http://D028@qq.com" TargetMode="External"/><Relationship Id="rId61" Type="http://schemas.openxmlformats.org/officeDocument/2006/relationships/hyperlink" Target="http://C019@qq.com" TargetMode="External"/><Relationship Id="rId82" Type="http://schemas.openxmlformats.org/officeDocument/2006/relationships/hyperlink" Target="http://B037@qq.com" TargetMode="External"/><Relationship Id="rId152" Type="http://schemas.openxmlformats.org/officeDocument/2006/relationships/hyperlink" Target="http://D014@qq.com" TargetMode="External"/><Relationship Id="rId19" Type="http://schemas.openxmlformats.org/officeDocument/2006/relationships/hyperlink" Target="http://C006@qq.com" TargetMode="External"/><Relationship Id="rId14" Type="http://schemas.openxmlformats.org/officeDocument/2006/relationships/hyperlink" Target="http://B040@qq.com" TargetMode="External"/><Relationship Id="rId30" Type="http://schemas.openxmlformats.org/officeDocument/2006/relationships/hyperlink" Target="http://B032@qq.com" TargetMode="External"/><Relationship Id="rId35" Type="http://schemas.openxmlformats.org/officeDocument/2006/relationships/hyperlink" Target="http://A002@qq.com" TargetMode="External"/><Relationship Id="rId56" Type="http://schemas.openxmlformats.org/officeDocument/2006/relationships/hyperlink" Target="http://A008@qq.com" TargetMode="External"/><Relationship Id="rId77" Type="http://schemas.openxmlformats.org/officeDocument/2006/relationships/hyperlink" Target="http://C022@qq.com" TargetMode="External"/><Relationship Id="rId100" Type="http://schemas.openxmlformats.org/officeDocument/2006/relationships/hyperlink" Target="http://D032@qq.com" TargetMode="External"/><Relationship Id="rId105" Type="http://schemas.openxmlformats.org/officeDocument/2006/relationships/hyperlink" Target="http://B034@qq.com" TargetMode="External"/><Relationship Id="rId126" Type="http://schemas.openxmlformats.org/officeDocument/2006/relationships/hyperlink" Target="http://A003@qq.com" TargetMode="External"/><Relationship Id="rId147" Type="http://schemas.openxmlformats.org/officeDocument/2006/relationships/hyperlink" Target="http://D013@qq.com" TargetMode="External"/><Relationship Id="rId8" Type="http://schemas.openxmlformats.org/officeDocument/2006/relationships/hyperlink" Target="http://A007@qq.com" TargetMode="External"/><Relationship Id="rId51" Type="http://schemas.openxmlformats.org/officeDocument/2006/relationships/hyperlink" Target="http://C002@qq.com" TargetMode="External"/><Relationship Id="rId72" Type="http://schemas.openxmlformats.org/officeDocument/2006/relationships/hyperlink" Target="http://B003@qq.com" TargetMode="External"/><Relationship Id="rId93" Type="http://schemas.openxmlformats.org/officeDocument/2006/relationships/hyperlink" Target="http://B021@qq.com" TargetMode="External"/><Relationship Id="rId98" Type="http://schemas.openxmlformats.org/officeDocument/2006/relationships/hyperlink" Target="http://A030@qq.com" TargetMode="External"/><Relationship Id="rId121" Type="http://schemas.openxmlformats.org/officeDocument/2006/relationships/hyperlink" Target="http://A042@qq.com" TargetMode="External"/><Relationship Id="rId142" Type="http://schemas.openxmlformats.org/officeDocument/2006/relationships/hyperlink" Target="http://D017@qq.com" TargetMode="External"/><Relationship Id="rId163" Type="http://schemas.openxmlformats.org/officeDocument/2006/relationships/hyperlink" Target="http://A035@qq.com" TargetMode="External"/><Relationship Id="rId3" Type="http://schemas.openxmlformats.org/officeDocument/2006/relationships/hyperlink" Target="http://A004@qq.com" TargetMode="External"/><Relationship Id="rId25" Type="http://schemas.openxmlformats.org/officeDocument/2006/relationships/hyperlink" Target="http://D010@qq.com" TargetMode="External"/><Relationship Id="rId46" Type="http://schemas.openxmlformats.org/officeDocument/2006/relationships/hyperlink" Target="http://B008@qq.com" TargetMode="External"/><Relationship Id="rId67" Type="http://schemas.openxmlformats.org/officeDocument/2006/relationships/hyperlink" Target="http://C038@qq.com" TargetMode="External"/><Relationship Id="rId116" Type="http://schemas.openxmlformats.org/officeDocument/2006/relationships/hyperlink" Target="http://D004@qq.com" TargetMode="External"/><Relationship Id="rId137" Type="http://schemas.openxmlformats.org/officeDocument/2006/relationships/hyperlink" Target="http://D020@qq.com" TargetMode="External"/><Relationship Id="rId158" Type="http://schemas.openxmlformats.org/officeDocument/2006/relationships/hyperlink" Target="http://C036@qq.com" TargetMode="External"/><Relationship Id="rId20" Type="http://schemas.openxmlformats.org/officeDocument/2006/relationships/hyperlink" Target="http://B007@qq.com" TargetMode="External"/><Relationship Id="rId41" Type="http://schemas.openxmlformats.org/officeDocument/2006/relationships/hyperlink" Target="http://C008@qq.com" TargetMode="External"/><Relationship Id="rId62" Type="http://schemas.openxmlformats.org/officeDocument/2006/relationships/hyperlink" Target="http://D009@qq.com" TargetMode="External"/><Relationship Id="rId83" Type="http://schemas.openxmlformats.org/officeDocument/2006/relationships/hyperlink" Target="http://A034@qq.com" TargetMode="External"/><Relationship Id="rId88" Type="http://schemas.openxmlformats.org/officeDocument/2006/relationships/hyperlink" Target="http://B009@qq.com" TargetMode="External"/><Relationship Id="rId111" Type="http://schemas.openxmlformats.org/officeDocument/2006/relationships/hyperlink" Target="http://C032@qq.com" TargetMode="External"/><Relationship Id="rId132" Type="http://schemas.openxmlformats.org/officeDocument/2006/relationships/hyperlink" Target="http://D003@qq.com" TargetMode="External"/><Relationship Id="rId153" Type="http://schemas.openxmlformats.org/officeDocument/2006/relationships/hyperlink" Target="http://D002@qq.com" TargetMode="External"/><Relationship Id="rId15" Type="http://schemas.openxmlformats.org/officeDocument/2006/relationships/hyperlink" Target="http://B005@qq.com" TargetMode="External"/><Relationship Id="rId36" Type="http://schemas.openxmlformats.org/officeDocument/2006/relationships/hyperlink" Target="http://A039@qq.com" TargetMode="External"/><Relationship Id="rId57" Type="http://schemas.openxmlformats.org/officeDocument/2006/relationships/hyperlink" Target="http://C025@qq.com" TargetMode="External"/><Relationship Id="rId106" Type="http://schemas.openxmlformats.org/officeDocument/2006/relationships/hyperlink" Target="http://B035@qq.com" TargetMode="External"/><Relationship Id="rId127" Type="http://schemas.openxmlformats.org/officeDocument/2006/relationships/hyperlink" Target="http://D025@qq.com" TargetMode="External"/><Relationship Id="rId10" Type="http://schemas.openxmlformats.org/officeDocument/2006/relationships/hyperlink" Target="http://A021@qq.com" TargetMode="External"/><Relationship Id="rId31" Type="http://schemas.openxmlformats.org/officeDocument/2006/relationships/hyperlink" Target="http://B026@qq.com" TargetMode="External"/><Relationship Id="rId52" Type="http://schemas.openxmlformats.org/officeDocument/2006/relationships/hyperlink" Target="http://B024@qq.com" TargetMode="External"/><Relationship Id="rId73" Type="http://schemas.openxmlformats.org/officeDocument/2006/relationships/hyperlink" Target="http://B016@qq.com" TargetMode="External"/><Relationship Id="rId78" Type="http://schemas.openxmlformats.org/officeDocument/2006/relationships/hyperlink" Target="http://B014@qq.com" TargetMode="External"/><Relationship Id="rId94" Type="http://schemas.openxmlformats.org/officeDocument/2006/relationships/hyperlink" Target="http://C040@qq.com" TargetMode="External"/><Relationship Id="rId99" Type="http://schemas.openxmlformats.org/officeDocument/2006/relationships/hyperlink" Target="http://C031@qq.com" TargetMode="External"/><Relationship Id="rId101" Type="http://schemas.openxmlformats.org/officeDocument/2006/relationships/hyperlink" Target="http://C041@qq.com" TargetMode="External"/><Relationship Id="rId122" Type="http://schemas.openxmlformats.org/officeDocument/2006/relationships/hyperlink" Target="http://C029@qq.com" TargetMode="External"/><Relationship Id="rId143" Type="http://schemas.openxmlformats.org/officeDocument/2006/relationships/hyperlink" Target="http://D006@qq.com" TargetMode="External"/><Relationship Id="rId148" Type="http://schemas.openxmlformats.org/officeDocument/2006/relationships/hyperlink" Target="http://D005@qq.com" TargetMode="External"/><Relationship Id="rId164" Type="http://schemas.openxmlformats.org/officeDocument/2006/relationships/hyperlink" Target="http://3229669406@qq.com" TargetMode="External"/><Relationship Id="rId4" Type="http://schemas.openxmlformats.org/officeDocument/2006/relationships/hyperlink" Target="http://A026@qq.com" TargetMode="External"/><Relationship Id="rId9" Type="http://schemas.openxmlformats.org/officeDocument/2006/relationships/hyperlink" Target="http://B041@qq.com" TargetMode="External"/><Relationship Id="rId26" Type="http://schemas.openxmlformats.org/officeDocument/2006/relationships/hyperlink" Target="http://A020@qq.com" TargetMode="External"/><Relationship Id="rId47" Type="http://schemas.openxmlformats.org/officeDocument/2006/relationships/hyperlink" Target="http://C001@qq.com" TargetMode="External"/><Relationship Id="rId68" Type="http://schemas.openxmlformats.org/officeDocument/2006/relationships/hyperlink" Target="http://A013@qq.com" TargetMode="External"/><Relationship Id="rId89" Type="http://schemas.openxmlformats.org/officeDocument/2006/relationships/hyperlink" Target="http://C015@qq.com" TargetMode="External"/><Relationship Id="rId112" Type="http://schemas.openxmlformats.org/officeDocument/2006/relationships/hyperlink" Target="http://A006@qq.com" TargetMode="External"/><Relationship Id="rId133" Type="http://schemas.openxmlformats.org/officeDocument/2006/relationships/hyperlink" Target="http://D026@qq.com" TargetMode="External"/><Relationship Id="rId154" Type="http://schemas.openxmlformats.org/officeDocument/2006/relationships/hyperlink" Target="http://B030@qq.com" TargetMode="External"/><Relationship Id="rId16" Type="http://schemas.openxmlformats.org/officeDocument/2006/relationships/hyperlink" Target="http://A022@qq.com" TargetMode="External"/><Relationship Id="rId37" Type="http://schemas.openxmlformats.org/officeDocument/2006/relationships/hyperlink" Target="http://A028@qq.com" TargetMode="External"/><Relationship Id="rId58" Type="http://schemas.openxmlformats.org/officeDocument/2006/relationships/hyperlink" Target="http://A016@qq.com" TargetMode="External"/><Relationship Id="rId79" Type="http://schemas.openxmlformats.org/officeDocument/2006/relationships/hyperlink" Target="http://D007@qq.com" TargetMode="External"/><Relationship Id="rId102" Type="http://schemas.openxmlformats.org/officeDocument/2006/relationships/hyperlink" Target="http://D008@qq.com" TargetMode="External"/><Relationship Id="rId123" Type="http://schemas.openxmlformats.org/officeDocument/2006/relationships/hyperlink" Target="http://D033@qq.com" TargetMode="External"/><Relationship Id="rId144" Type="http://schemas.openxmlformats.org/officeDocument/2006/relationships/hyperlink" Target="http://D022@qq.com" TargetMode="External"/><Relationship Id="rId90" Type="http://schemas.openxmlformats.org/officeDocument/2006/relationships/hyperlink" Target="http://B018@qq.com" TargetMode="External"/><Relationship Id="rId27" Type="http://schemas.openxmlformats.org/officeDocument/2006/relationships/hyperlink" Target="http://A005@qq.com" TargetMode="External"/><Relationship Id="rId48" Type="http://schemas.openxmlformats.org/officeDocument/2006/relationships/hyperlink" Target="http://B015@qq.com" TargetMode="External"/><Relationship Id="rId69" Type="http://schemas.openxmlformats.org/officeDocument/2006/relationships/hyperlink" Target="http://B022@qq.com" TargetMode="External"/><Relationship Id="rId113" Type="http://schemas.openxmlformats.org/officeDocument/2006/relationships/hyperlink" Target="http://C005@qq.com" TargetMode="External"/><Relationship Id="rId134" Type="http://schemas.openxmlformats.org/officeDocument/2006/relationships/hyperlink" Target="http://D030@qq.com" TargetMode="External"/><Relationship Id="rId80" Type="http://schemas.openxmlformats.org/officeDocument/2006/relationships/hyperlink" Target="http://D034@qq.com" TargetMode="External"/><Relationship Id="rId155" Type="http://schemas.openxmlformats.org/officeDocument/2006/relationships/hyperlink" Target="http://B029@qq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C002@qq.com" TargetMode="External"/><Relationship Id="rId21" Type="http://schemas.openxmlformats.org/officeDocument/2006/relationships/hyperlink" Target="http://B033@qq.com" TargetMode="External"/><Relationship Id="rId42" Type="http://schemas.openxmlformats.org/officeDocument/2006/relationships/hyperlink" Target="http://A005@qq.com" TargetMode="External"/><Relationship Id="rId63" Type="http://schemas.openxmlformats.org/officeDocument/2006/relationships/hyperlink" Target="http://C017@qq.com" TargetMode="External"/><Relationship Id="rId84" Type="http://schemas.openxmlformats.org/officeDocument/2006/relationships/hyperlink" Target="http://B035@qq.com" TargetMode="External"/><Relationship Id="rId138" Type="http://schemas.openxmlformats.org/officeDocument/2006/relationships/hyperlink" Target="http://D001@qq.com" TargetMode="External"/><Relationship Id="rId159" Type="http://schemas.openxmlformats.org/officeDocument/2006/relationships/hyperlink" Target="http://B029@qq.com" TargetMode="External"/><Relationship Id="rId107" Type="http://schemas.openxmlformats.org/officeDocument/2006/relationships/hyperlink" Target="http://D014@qq.com" TargetMode="External"/><Relationship Id="rId11" Type="http://schemas.openxmlformats.org/officeDocument/2006/relationships/hyperlink" Target="http://A021@qq.com" TargetMode="External"/><Relationship Id="rId32" Type="http://schemas.openxmlformats.org/officeDocument/2006/relationships/hyperlink" Target="http://A020@qq.com" TargetMode="External"/><Relationship Id="rId53" Type="http://schemas.openxmlformats.org/officeDocument/2006/relationships/hyperlink" Target="http://B021@qq.com" TargetMode="External"/><Relationship Id="rId74" Type="http://schemas.openxmlformats.org/officeDocument/2006/relationships/hyperlink" Target="http://B040@qq.com" TargetMode="External"/><Relationship Id="rId128" Type="http://schemas.openxmlformats.org/officeDocument/2006/relationships/hyperlink" Target="http://A042@qq.com" TargetMode="External"/><Relationship Id="rId149" Type="http://schemas.openxmlformats.org/officeDocument/2006/relationships/hyperlink" Target="http://D027@qq.com" TargetMode="External"/><Relationship Id="rId5" Type="http://schemas.openxmlformats.org/officeDocument/2006/relationships/hyperlink" Target="http://A004@qq.com" TargetMode="External"/><Relationship Id="rId95" Type="http://schemas.openxmlformats.org/officeDocument/2006/relationships/hyperlink" Target="http://C003@qq.com" TargetMode="External"/><Relationship Id="rId160" Type="http://schemas.openxmlformats.org/officeDocument/2006/relationships/hyperlink" Target="http://C007@qq.com" TargetMode="External"/><Relationship Id="rId22" Type="http://schemas.openxmlformats.org/officeDocument/2006/relationships/hyperlink" Target="http://A013@qq.com" TargetMode="External"/><Relationship Id="rId43" Type="http://schemas.openxmlformats.org/officeDocument/2006/relationships/hyperlink" Target="http://A035@qq.com" TargetMode="External"/><Relationship Id="rId64" Type="http://schemas.openxmlformats.org/officeDocument/2006/relationships/hyperlink" Target="http://A029@qq.com" TargetMode="External"/><Relationship Id="rId118" Type="http://schemas.openxmlformats.org/officeDocument/2006/relationships/hyperlink" Target="http://D020@qq.com" TargetMode="External"/><Relationship Id="rId139" Type="http://schemas.openxmlformats.org/officeDocument/2006/relationships/hyperlink" Target="http://B010@qq.com" TargetMode="External"/><Relationship Id="rId85" Type="http://schemas.openxmlformats.org/officeDocument/2006/relationships/hyperlink" Target="http://B028@qq.com" TargetMode="External"/><Relationship Id="rId150" Type="http://schemas.openxmlformats.org/officeDocument/2006/relationships/hyperlink" Target="http://D021@qq.com" TargetMode="External"/><Relationship Id="rId12" Type="http://schemas.openxmlformats.org/officeDocument/2006/relationships/hyperlink" Target="http://B001@qq.com" TargetMode="External"/><Relationship Id="rId17" Type="http://schemas.openxmlformats.org/officeDocument/2006/relationships/hyperlink" Target="http://D019@qq.com" TargetMode="External"/><Relationship Id="rId33" Type="http://schemas.openxmlformats.org/officeDocument/2006/relationships/hyperlink" Target="http://A006@qq.com" TargetMode="External"/><Relationship Id="rId38" Type="http://schemas.openxmlformats.org/officeDocument/2006/relationships/hyperlink" Target="http://A030@qq.com" TargetMode="External"/><Relationship Id="rId59" Type="http://schemas.openxmlformats.org/officeDocument/2006/relationships/hyperlink" Target="http://A032@qq.com" TargetMode="External"/><Relationship Id="rId103" Type="http://schemas.openxmlformats.org/officeDocument/2006/relationships/hyperlink" Target="http://B037@qq.com" TargetMode="External"/><Relationship Id="rId108" Type="http://schemas.openxmlformats.org/officeDocument/2006/relationships/hyperlink" Target="http://C035@qq.com" TargetMode="External"/><Relationship Id="rId124" Type="http://schemas.openxmlformats.org/officeDocument/2006/relationships/hyperlink" Target="http://D032@qq.com" TargetMode="External"/><Relationship Id="rId129" Type="http://schemas.openxmlformats.org/officeDocument/2006/relationships/hyperlink" Target="http://C029@qq.com" TargetMode="External"/><Relationship Id="rId54" Type="http://schemas.openxmlformats.org/officeDocument/2006/relationships/hyperlink" Target="http://B004@qq.com" TargetMode="External"/><Relationship Id="rId70" Type="http://schemas.openxmlformats.org/officeDocument/2006/relationships/hyperlink" Target="http://B026@qq.com" TargetMode="External"/><Relationship Id="rId75" Type="http://schemas.openxmlformats.org/officeDocument/2006/relationships/hyperlink" Target="http://D025@qq.com" TargetMode="External"/><Relationship Id="rId91" Type="http://schemas.openxmlformats.org/officeDocument/2006/relationships/hyperlink" Target="http://C040@qq.com" TargetMode="External"/><Relationship Id="rId96" Type="http://schemas.openxmlformats.org/officeDocument/2006/relationships/hyperlink" Target="http://A040@qq.com" TargetMode="External"/><Relationship Id="rId140" Type="http://schemas.openxmlformats.org/officeDocument/2006/relationships/hyperlink" Target="http://D037@qq.com" TargetMode="External"/><Relationship Id="rId145" Type="http://schemas.openxmlformats.org/officeDocument/2006/relationships/hyperlink" Target="http://C024@qq.com" TargetMode="External"/><Relationship Id="rId161" Type="http://schemas.openxmlformats.org/officeDocument/2006/relationships/hyperlink" Target="http://D015@qq.com" TargetMode="External"/><Relationship Id="rId166" Type="http://schemas.openxmlformats.org/officeDocument/2006/relationships/hyperlink" Target="http://D017@qq.com" TargetMode="External"/><Relationship Id="rId1" Type="http://schemas.openxmlformats.org/officeDocument/2006/relationships/hyperlink" Target="http://A023@qq.com" TargetMode="External"/><Relationship Id="rId6" Type="http://schemas.openxmlformats.org/officeDocument/2006/relationships/hyperlink" Target="http://A036@qq.com" TargetMode="External"/><Relationship Id="rId23" Type="http://schemas.openxmlformats.org/officeDocument/2006/relationships/hyperlink" Target="http://A028@qq.com" TargetMode="External"/><Relationship Id="rId28" Type="http://schemas.openxmlformats.org/officeDocument/2006/relationships/hyperlink" Target="http://B008@qq.com" TargetMode="External"/><Relationship Id="rId49" Type="http://schemas.openxmlformats.org/officeDocument/2006/relationships/hyperlink" Target="http://A007@qq.com" TargetMode="External"/><Relationship Id="rId114" Type="http://schemas.openxmlformats.org/officeDocument/2006/relationships/hyperlink" Target="http://C027@qq.com" TargetMode="External"/><Relationship Id="rId119" Type="http://schemas.openxmlformats.org/officeDocument/2006/relationships/hyperlink" Target="http://B017@qq.com" TargetMode="External"/><Relationship Id="rId44" Type="http://schemas.openxmlformats.org/officeDocument/2006/relationships/hyperlink" Target="http://B015@qq.com" TargetMode="External"/><Relationship Id="rId60" Type="http://schemas.openxmlformats.org/officeDocument/2006/relationships/hyperlink" Target="http://B023@qq.com" TargetMode="External"/><Relationship Id="rId65" Type="http://schemas.openxmlformats.org/officeDocument/2006/relationships/hyperlink" Target="http://C001@qq.com" TargetMode="External"/><Relationship Id="rId81" Type="http://schemas.openxmlformats.org/officeDocument/2006/relationships/hyperlink" Target="http://B016@qq.com" TargetMode="External"/><Relationship Id="rId86" Type="http://schemas.openxmlformats.org/officeDocument/2006/relationships/hyperlink" Target="http://C039@qq.com" TargetMode="External"/><Relationship Id="rId130" Type="http://schemas.openxmlformats.org/officeDocument/2006/relationships/hyperlink" Target="http://C036@qq.com" TargetMode="External"/><Relationship Id="rId135" Type="http://schemas.openxmlformats.org/officeDocument/2006/relationships/hyperlink" Target="http://D016@qq.com" TargetMode="External"/><Relationship Id="rId151" Type="http://schemas.openxmlformats.org/officeDocument/2006/relationships/hyperlink" Target="http://B031@qq.com" TargetMode="External"/><Relationship Id="rId156" Type="http://schemas.openxmlformats.org/officeDocument/2006/relationships/hyperlink" Target="http://D011@qq.com" TargetMode="External"/><Relationship Id="rId13" Type="http://schemas.openxmlformats.org/officeDocument/2006/relationships/hyperlink" Target="http://A009@qq.com" TargetMode="External"/><Relationship Id="rId18" Type="http://schemas.openxmlformats.org/officeDocument/2006/relationships/hyperlink" Target="http://A008@qq.com" TargetMode="External"/><Relationship Id="rId39" Type="http://schemas.openxmlformats.org/officeDocument/2006/relationships/hyperlink" Target="http://A037@qq.com" TargetMode="External"/><Relationship Id="rId109" Type="http://schemas.openxmlformats.org/officeDocument/2006/relationships/hyperlink" Target="http://C031@qq.com" TargetMode="External"/><Relationship Id="rId34" Type="http://schemas.openxmlformats.org/officeDocument/2006/relationships/hyperlink" Target="http://A001@qq.com" TargetMode="External"/><Relationship Id="rId50" Type="http://schemas.openxmlformats.org/officeDocument/2006/relationships/hyperlink" Target="http://B012@qq.com" TargetMode="External"/><Relationship Id="rId55" Type="http://schemas.openxmlformats.org/officeDocument/2006/relationships/hyperlink" Target="http://C019@qq.com" TargetMode="External"/><Relationship Id="rId76" Type="http://schemas.openxmlformats.org/officeDocument/2006/relationships/hyperlink" Target="http://C005@qq.com" TargetMode="External"/><Relationship Id="rId97" Type="http://schemas.openxmlformats.org/officeDocument/2006/relationships/hyperlink" Target="http://C025@qq.com" TargetMode="External"/><Relationship Id="rId104" Type="http://schemas.openxmlformats.org/officeDocument/2006/relationships/hyperlink" Target="http://C032@qq.com" TargetMode="External"/><Relationship Id="rId120" Type="http://schemas.openxmlformats.org/officeDocument/2006/relationships/hyperlink" Target="http://D012@qq.com" TargetMode="External"/><Relationship Id="rId125" Type="http://schemas.openxmlformats.org/officeDocument/2006/relationships/hyperlink" Target="http://C030@qq.com" TargetMode="External"/><Relationship Id="rId141" Type="http://schemas.openxmlformats.org/officeDocument/2006/relationships/hyperlink" Target="http://C021@qq.com" TargetMode="External"/><Relationship Id="rId146" Type="http://schemas.openxmlformats.org/officeDocument/2006/relationships/hyperlink" Target="http://D046@qq.com" TargetMode="External"/><Relationship Id="rId7" Type="http://schemas.openxmlformats.org/officeDocument/2006/relationships/hyperlink" Target="http://A031@qq.com" TargetMode="External"/><Relationship Id="rId71" Type="http://schemas.openxmlformats.org/officeDocument/2006/relationships/hyperlink" Target="http://B003@qq.com" TargetMode="External"/><Relationship Id="rId92" Type="http://schemas.openxmlformats.org/officeDocument/2006/relationships/hyperlink" Target="http://A041@qq.com" TargetMode="External"/><Relationship Id="rId162" Type="http://schemas.openxmlformats.org/officeDocument/2006/relationships/hyperlink" Target="http://D028@qq.com" TargetMode="External"/><Relationship Id="rId2" Type="http://schemas.openxmlformats.org/officeDocument/2006/relationships/hyperlink" Target="http://A014@qq.com" TargetMode="External"/><Relationship Id="rId29" Type="http://schemas.openxmlformats.org/officeDocument/2006/relationships/hyperlink" Target="http://A024@qq.com" TargetMode="External"/><Relationship Id="rId24" Type="http://schemas.openxmlformats.org/officeDocument/2006/relationships/hyperlink" Target="http://D034@qq.com" TargetMode="External"/><Relationship Id="rId40" Type="http://schemas.openxmlformats.org/officeDocument/2006/relationships/hyperlink" Target="http://B024@qq.com" TargetMode="External"/><Relationship Id="rId45" Type="http://schemas.openxmlformats.org/officeDocument/2006/relationships/hyperlink" Target="http://A010@qq.com" TargetMode="External"/><Relationship Id="rId66" Type="http://schemas.openxmlformats.org/officeDocument/2006/relationships/hyperlink" Target="http://B042@qq.com" TargetMode="External"/><Relationship Id="rId87" Type="http://schemas.openxmlformats.org/officeDocument/2006/relationships/hyperlink" Target="http://C010@qq.com" TargetMode="External"/><Relationship Id="rId110" Type="http://schemas.openxmlformats.org/officeDocument/2006/relationships/hyperlink" Target="http://A016@qq.com" TargetMode="External"/><Relationship Id="rId115" Type="http://schemas.openxmlformats.org/officeDocument/2006/relationships/hyperlink" Target="http://B014@qq.com" TargetMode="External"/><Relationship Id="rId131" Type="http://schemas.openxmlformats.org/officeDocument/2006/relationships/hyperlink" Target="http://D045@qq.com" TargetMode="External"/><Relationship Id="rId136" Type="http://schemas.openxmlformats.org/officeDocument/2006/relationships/hyperlink" Target="http://D013@qq.com" TargetMode="External"/><Relationship Id="rId157" Type="http://schemas.openxmlformats.org/officeDocument/2006/relationships/hyperlink" Target="http://D007@qq.com" TargetMode="External"/><Relationship Id="rId61" Type="http://schemas.openxmlformats.org/officeDocument/2006/relationships/hyperlink" Target="http://B030@qq.com" TargetMode="External"/><Relationship Id="rId82" Type="http://schemas.openxmlformats.org/officeDocument/2006/relationships/hyperlink" Target="http://C033@qq.com" TargetMode="External"/><Relationship Id="rId152" Type="http://schemas.openxmlformats.org/officeDocument/2006/relationships/hyperlink" Target="http://D030@qq.com" TargetMode="External"/><Relationship Id="rId19" Type="http://schemas.openxmlformats.org/officeDocument/2006/relationships/hyperlink" Target="http://A025@qq.com" TargetMode="External"/><Relationship Id="rId14" Type="http://schemas.openxmlformats.org/officeDocument/2006/relationships/hyperlink" Target="http://D041@qq.com" TargetMode="External"/><Relationship Id="rId30" Type="http://schemas.openxmlformats.org/officeDocument/2006/relationships/hyperlink" Target="http://C041@qq.com" TargetMode="External"/><Relationship Id="rId35" Type="http://schemas.openxmlformats.org/officeDocument/2006/relationships/hyperlink" Target="http://B043@qq.com" TargetMode="External"/><Relationship Id="rId56" Type="http://schemas.openxmlformats.org/officeDocument/2006/relationships/hyperlink" Target="http://A038@qq.com" TargetMode="External"/><Relationship Id="rId77" Type="http://schemas.openxmlformats.org/officeDocument/2006/relationships/hyperlink" Target="http://B025@qq.com" TargetMode="External"/><Relationship Id="rId100" Type="http://schemas.openxmlformats.org/officeDocument/2006/relationships/hyperlink" Target="http://B036@qq.com" TargetMode="External"/><Relationship Id="rId105" Type="http://schemas.openxmlformats.org/officeDocument/2006/relationships/hyperlink" Target="http://D031@qq.com" TargetMode="External"/><Relationship Id="rId126" Type="http://schemas.openxmlformats.org/officeDocument/2006/relationships/hyperlink" Target="http://D010@qq.com" TargetMode="External"/><Relationship Id="rId147" Type="http://schemas.openxmlformats.org/officeDocument/2006/relationships/hyperlink" Target="http://D039@qq.com" TargetMode="External"/><Relationship Id="rId8" Type="http://schemas.openxmlformats.org/officeDocument/2006/relationships/hyperlink" Target="http://A011@qq.com" TargetMode="External"/><Relationship Id="rId51" Type="http://schemas.openxmlformats.org/officeDocument/2006/relationships/hyperlink" Target="http://A012@qq.com" TargetMode="External"/><Relationship Id="rId72" Type="http://schemas.openxmlformats.org/officeDocument/2006/relationships/hyperlink" Target="http://D008@qq.com" TargetMode="External"/><Relationship Id="rId93" Type="http://schemas.openxmlformats.org/officeDocument/2006/relationships/hyperlink" Target="http://D022@qq.com" TargetMode="External"/><Relationship Id="rId98" Type="http://schemas.openxmlformats.org/officeDocument/2006/relationships/hyperlink" Target="http://D009@qq.com" TargetMode="External"/><Relationship Id="rId121" Type="http://schemas.openxmlformats.org/officeDocument/2006/relationships/hyperlink" Target="http://C012@qq.com" TargetMode="External"/><Relationship Id="rId142" Type="http://schemas.openxmlformats.org/officeDocument/2006/relationships/hyperlink" Target="http://D035@qq.com" TargetMode="External"/><Relationship Id="rId163" Type="http://schemas.openxmlformats.org/officeDocument/2006/relationships/hyperlink" Target="http://B032@qq.com" TargetMode="External"/><Relationship Id="rId3" Type="http://schemas.openxmlformats.org/officeDocument/2006/relationships/hyperlink" Target="http://A002@qq.com" TargetMode="External"/><Relationship Id="rId25" Type="http://schemas.openxmlformats.org/officeDocument/2006/relationships/hyperlink" Target="http://A033@qq.com" TargetMode="External"/><Relationship Id="rId46" Type="http://schemas.openxmlformats.org/officeDocument/2006/relationships/hyperlink" Target="http://A043@qq.com" TargetMode="External"/><Relationship Id="rId67" Type="http://schemas.openxmlformats.org/officeDocument/2006/relationships/hyperlink" Target="http://C034@qq.com" TargetMode="External"/><Relationship Id="rId116" Type="http://schemas.openxmlformats.org/officeDocument/2006/relationships/hyperlink" Target="http://C006@qq.com" TargetMode="External"/><Relationship Id="rId137" Type="http://schemas.openxmlformats.org/officeDocument/2006/relationships/hyperlink" Target="http://D005@qq.com" TargetMode="External"/><Relationship Id="rId158" Type="http://schemas.openxmlformats.org/officeDocument/2006/relationships/hyperlink" Target="http://A003@qq.com" TargetMode="External"/><Relationship Id="rId20" Type="http://schemas.openxmlformats.org/officeDocument/2006/relationships/hyperlink" Target="http://A026@qq.com" TargetMode="External"/><Relationship Id="rId41" Type="http://schemas.openxmlformats.org/officeDocument/2006/relationships/hyperlink" Target="http://C042@qq.com" TargetMode="External"/><Relationship Id="rId62" Type="http://schemas.openxmlformats.org/officeDocument/2006/relationships/hyperlink" Target="http://B009@qq.com" TargetMode="External"/><Relationship Id="rId83" Type="http://schemas.openxmlformats.org/officeDocument/2006/relationships/hyperlink" Target="http://B007@qq.com" TargetMode="External"/><Relationship Id="rId88" Type="http://schemas.openxmlformats.org/officeDocument/2006/relationships/hyperlink" Target="http://B020@qq.com" TargetMode="External"/><Relationship Id="rId111" Type="http://schemas.openxmlformats.org/officeDocument/2006/relationships/hyperlink" Target="http://B034@qq.com" TargetMode="External"/><Relationship Id="rId132" Type="http://schemas.openxmlformats.org/officeDocument/2006/relationships/hyperlink" Target="http://C023@qq.com" TargetMode="External"/><Relationship Id="rId153" Type="http://schemas.openxmlformats.org/officeDocument/2006/relationships/hyperlink" Target="http://D024@qq.com" TargetMode="External"/><Relationship Id="rId15" Type="http://schemas.openxmlformats.org/officeDocument/2006/relationships/hyperlink" Target="http://B002@qq.com" TargetMode="External"/><Relationship Id="rId36" Type="http://schemas.openxmlformats.org/officeDocument/2006/relationships/hyperlink" Target="http://B041@qq.com" TargetMode="External"/><Relationship Id="rId57" Type="http://schemas.openxmlformats.org/officeDocument/2006/relationships/hyperlink" Target="http://B019@qq.com" TargetMode="External"/><Relationship Id="rId106" Type="http://schemas.openxmlformats.org/officeDocument/2006/relationships/hyperlink" Target="http://C018@qq.com" TargetMode="External"/><Relationship Id="rId127" Type="http://schemas.openxmlformats.org/officeDocument/2006/relationships/hyperlink" Target="http://D002@qq.com" TargetMode="External"/><Relationship Id="rId10" Type="http://schemas.openxmlformats.org/officeDocument/2006/relationships/hyperlink" Target="http://D026@qq.com" TargetMode="External"/><Relationship Id="rId31" Type="http://schemas.openxmlformats.org/officeDocument/2006/relationships/hyperlink" Target="http://A015@qq.com" TargetMode="External"/><Relationship Id="rId52" Type="http://schemas.openxmlformats.org/officeDocument/2006/relationships/hyperlink" Target="http://C038@qq.com" TargetMode="External"/><Relationship Id="rId73" Type="http://schemas.openxmlformats.org/officeDocument/2006/relationships/hyperlink" Target="http://C028@qq.com" TargetMode="External"/><Relationship Id="rId78" Type="http://schemas.openxmlformats.org/officeDocument/2006/relationships/hyperlink" Target="http://C013@qq.com" TargetMode="External"/><Relationship Id="rId94" Type="http://schemas.openxmlformats.org/officeDocument/2006/relationships/hyperlink" Target="http://B022@qq.com" TargetMode="External"/><Relationship Id="rId99" Type="http://schemas.openxmlformats.org/officeDocument/2006/relationships/hyperlink" Target="http://B018@qq.com" TargetMode="External"/><Relationship Id="rId101" Type="http://schemas.openxmlformats.org/officeDocument/2006/relationships/hyperlink" Target="http://B006@qq.com" TargetMode="External"/><Relationship Id="rId122" Type="http://schemas.openxmlformats.org/officeDocument/2006/relationships/hyperlink" Target="http://A022@qq.com" TargetMode="External"/><Relationship Id="rId143" Type="http://schemas.openxmlformats.org/officeDocument/2006/relationships/hyperlink" Target="http://D044@qq.com" TargetMode="External"/><Relationship Id="rId148" Type="http://schemas.openxmlformats.org/officeDocument/2006/relationships/hyperlink" Target="http://B039@qq.com" TargetMode="External"/><Relationship Id="rId164" Type="http://schemas.openxmlformats.org/officeDocument/2006/relationships/hyperlink" Target="http://D006@qq.com" TargetMode="External"/><Relationship Id="rId4" Type="http://schemas.openxmlformats.org/officeDocument/2006/relationships/hyperlink" Target="http://B005@qq.com" TargetMode="External"/><Relationship Id="rId9" Type="http://schemas.openxmlformats.org/officeDocument/2006/relationships/hyperlink" Target="http://C004@qq.com" TargetMode="External"/><Relationship Id="rId26" Type="http://schemas.openxmlformats.org/officeDocument/2006/relationships/hyperlink" Target="http://A017@qq.com" TargetMode="External"/><Relationship Id="rId47" Type="http://schemas.openxmlformats.org/officeDocument/2006/relationships/hyperlink" Target="http://A019@qq.com" TargetMode="External"/><Relationship Id="rId68" Type="http://schemas.openxmlformats.org/officeDocument/2006/relationships/hyperlink" Target="http://C011@qq.com" TargetMode="External"/><Relationship Id="rId89" Type="http://schemas.openxmlformats.org/officeDocument/2006/relationships/hyperlink" Target="http://D004@qq.com" TargetMode="External"/><Relationship Id="rId112" Type="http://schemas.openxmlformats.org/officeDocument/2006/relationships/hyperlink" Target="http://C022@qq.com" TargetMode="External"/><Relationship Id="rId133" Type="http://schemas.openxmlformats.org/officeDocument/2006/relationships/hyperlink" Target="http://D029@qq.com" TargetMode="External"/><Relationship Id="rId154" Type="http://schemas.openxmlformats.org/officeDocument/2006/relationships/hyperlink" Target="http://D003@qq.com" TargetMode="External"/><Relationship Id="rId16" Type="http://schemas.openxmlformats.org/officeDocument/2006/relationships/hyperlink" Target="http://B011@qq.com" TargetMode="External"/><Relationship Id="rId37" Type="http://schemas.openxmlformats.org/officeDocument/2006/relationships/hyperlink" Target="http://A034@qq.com" TargetMode="External"/><Relationship Id="rId58" Type="http://schemas.openxmlformats.org/officeDocument/2006/relationships/hyperlink" Target="http://C015@qq.com" TargetMode="External"/><Relationship Id="rId79" Type="http://schemas.openxmlformats.org/officeDocument/2006/relationships/hyperlink" Target="http://C009@qq.com" TargetMode="External"/><Relationship Id="rId102" Type="http://schemas.openxmlformats.org/officeDocument/2006/relationships/hyperlink" Target="http://B013@qq.com" TargetMode="External"/><Relationship Id="rId123" Type="http://schemas.openxmlformats.org/officeDocument/2006/relationships/hyperlink" Target="http://D033@qq.com" TargetMode="External"/><Relationship Id="rId144" Type="http://schemas.openxmlformats.org/officeDocument/2006/relationships/hyperlink" Target="http://D018@qq.com" TargetMode="External"/><Relationship Id="rId90" Type="http://schemas.openxmlformats.org/officeDocument/2006/relationships/hyperlink" Target="http://D040@qq.com" TargetMode="External"/><Relationship Id="rId165" Type="http://schemas.openxmlformats.org/officeDocument/2006/relationships/hyperlink" Target="http://D036@qq.com" TargetMode="External"/><Relationship Id="rId27" Type="http://schemas.openxmlformats.org/officeDocument/2006/relationships/hyperlink" Target="http://B038@qq.com" TargetMode="External"/><Relationship Id="rId48" Type="http://schemas.openxmlformats.org/officeDocument/2006/relationships/hyperlink" Target="http://A039@qq.com" TargetMode="External"/><Relationship Id="rId69" Type="http://schemas.openxmlformats.org/officeDocument/2006/relationships/hyperlink" Target="http://C008@qq.com" TargetMode="External"/><Relationship Id="rId113" Type="http://schemas.openxmlformats.org/officeDocument/2006/relationships/hyperlink" Target="http://B027@qq.com" TargetMode="External"/><Relationship Id="rId134" Type="http://schemas.openxmlformats.org/officeDocument/2006/relationships/hyperlink" Target="http://C026@qq.com" TargetMode="External"/><Relationship Id="rId80" Type="http://schemas.openxmlformats.org/officeDocument/2006/relationships/hyperlink" Target="http://A018@qq.com" TargetMode="External"/><Relationship Id="rId155" Type="http://schemas.openxmlformats.org/officeDocument/2006/relationships/hyperlink" Target="http://D038@qq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D037@qq.com" TargetMode="External"/><Relationship Id="rId21" Type="http://schemas.openxmlformats.org/officeDocument/2006/relationships/hyperlink" Target="http://B038@qq.com" TargetMode="External"/><Relationship Id="rId42" Type="http://schemas.openxmlformats.org/officeDocument/2006/relationships/hyperlink" Target="http://B024@qq.com" TargetMode="External"/><Relationship Id="rId63" Type="http://schemas.openxmlformats.org/officeDocument/2006/relationships/hyperlink" Target="http://C003@qq.com" TargetMode="External"/><Relationship Id="rId84" Type="http://schemas.openxmlformats.org/officeDocument/2006/relationships/hyperlink" Target="http://D039@qq.com" TargetMode="External"/><Relationship Id="rId138" Type="http://schemas.openxmlformats.org/officeDocument/2006/relationships/hyperlink" Target="http://C029@qq.com" TargetMode="External"/><Relationship Id="rId159" Type="http://schemas.openxmlformats.org/officeDocument/2006/relationships/hyperlink" Target="http://D028@qq.com" TargetMode="External"/><Relationship Id="rId107" Type="http://schemas.openxmlformats.org/officeDocument/2006/relationships/hyperlink" Target="http://D032@qq.com" TargetMode="External"/><Relationship Id="rId11" Type="http://schemas.openxmlformats.org/officeDocument/2006/relationships/hyperlink" Target="http://C004@qq.com" TargetMode="External"/><Relationship Id="rId32" Type="http://schemas.openxmlformats.org/officeDocument/2006/relationships/hyperlink" Target="http://C027@qq.com" TargetMode="External"/><Relationship Id="rId53" Type="http://schemas.openxmlformats.org/officeDocument/2006/relationships/hyperlink" Target="http://C006@qq.com" TargetMode="External"/><Relationship Id="rId74" Type="http://schemas.openxmlformats.org/officeDocument/2006/relationships/hyperlink" Target="http://D025@qq.com" TargetMode="External"/><Relationship Id="rId128" Type="http://schemas.openxmlformats.org/officeDocument/2006/relationships/hyperlink" Target="http://D044@qq.com" TargetMode="External"/><Relationship Id="rId149" Type="http://schemas.openxmlformats.org/officeDocument/2006/relationships/hyperlink" Target="http://D030@qq.com" TargetMode="External"/><Relationship Id="rId5" Type="http://schemas.openxmlformats.org/officeDocument/2006/relationships/hyperlink" Target="http://A001@qq.com" TargetMode="External"/><Relationship Id="rId95" Type="http://schemas.openxmlformats.org/officeDocument/2006/relationships/hyperlink" Target="http://C022@qq.com" TargetMode="External"/><Relationship Id="rId160" Type="http://schemas.openxmlformats.org/officeDocument/2006/relationships/hyperlink" Target="http://D016@qq.com" TargetMode="External"/><Relationship Id="rId22" Type="http://schemas.openxmlformats.org/officeDocument/2006/relationships/hyperlink" Target="http://C023@qq.com" TargetMode="External"/><Relationship Id="rId43" Type="http://schemas.openxmlformats.org/officeDocument/2006/relationships/hyperlink" Target="http://D010@qq.com" TargetMode="External"/><Relationship Id="rId64" Type="http://schemas.openxmlformats.org/officeDocument/2006/relationships/hyperlink" Target="http://B037@qq.com" TargetMode="External"/><Relationship Id="rId118" Type="http://schemas.openxmlformats.org/officeDocument/2006/relationships/hyperlink" Target="http://C012@qq.com" TargetMode="External"/><Relationship Id="rId139" Type="http://schemas.openxmlformats.org/officeDocument/2006/relationships/hyperlink" Target="http://D008@qq.com" TargetMode="External"/><Relationship Id="rId85" Type="http://schemas.openxmlformats.org/officeDocument/2006/relationships/hyperlink" Target="http://A013@qq.com" TargetMode="External"/><Relationship Id="rId150" Type="http://schemas.openxmlformats.org/officeDocument/2006/relationships/hyperlink" Target="http://B039@qq.com" TargetMode="External"/><Relationship Id="rId12" Type="http://schemas.openxmlformats.org/officeDocument/2006/relationships/hyperlink" Target="http://A002@qq.com" TargetMode="External"/><Relationship Id="rId17" Type="http://schemas.openxmlformats.org/officeDocument/2006/relationships/hyperlink" Target="http://A029@qq.com" TargetMode="External"/><Relationship Id="rId33" Type="http://schemas.openxmlformats.org/officeDocument/2006/relationships/hyperlink" Target="http://D009@qq.com" TargetMode="External"/><Relationship Id="rId38" Type="http://schemas.openxmlformats.org/officeDocument/2006/relationships/hyperlink" Target="http://A014@qq.com" TargetMode="External"/><Relationship Id="rId59" Type="http://schemas.openxmlformats.org/officeDocument/2006/relationships/hyperlink" Target="http://C008@qq.com" TargetMode="External"/><Relationship Id="rId103" Type="http://schemas.openxmlformats.org/officeDocument/2006/relationships/hyperlink" Target="http://B027@qq.com" TargetMode="External"/><Relationship Id="rId108" Type="http://schemas.openxmlformats.org/officeDocument/2006/relationships/hyperlink" Target="http://C040@qq.com" TargetMode="External"/><Relationship Id="rId124" Type="http://schemas.openxmlformats.org/officeDocument/2006/relationships/hyperlink" Target="http://D014@qq.com" TargetMode="External"/><Relationship Id="rId129" Type="http://schemas.openxmlformats.org/officeDocument/2006/relationships/hyperlink" Target="http://A030@qq.com" TargetMode="External"/><Relationship Id="rId54" Type="http://schemas.openxmlformats.org/officeDocument/2006/relationships/hyperlink" Target="http://A016@qq.com" TargetMode="External"/><Relationship Id="rId70" Type="http://schemas.openxmlformats.org/officeDocument/2006/relationships/hyperlink" Target="http://B030@qq.com" TargetMode="External"/><Relationship Id="rId75" Type="http://schemas.openxmlformats.org/officeDocument/2006/relationships/hyperlink" Target="http://C042@qq.com" TargetMode="External"/><Relationship Id="rId91" Type="http://schemas.openxmlformats.org/officeDocument/2006/relationships/hyperlink" Target="http://C005@qq.com" TargetMode="External"/><Relationship Id="rId96" Type="http://schemas.openxmlformats.org/officeDocument/2006/relationships/hyperlink" Target="http://C010@qq.com" TargetMode="External"/><Relationship Id="rId140" Type="http://schemas.openxmlformats.org/officeDocument/2006/relationships/hyperlink" Target="http://D045@qq.com" TargetMode="External"/><Relationship Id="rId145" Type="http://schemas.openxmlformats.org/officeDocument/2006/relationships/hyperlink" Target="http://A012@qq.com" TargetMode="External"/><Relationship Id="rId161" Type="http://schemas.openxmlformats.org/officeDocument/2006/relationships/hyperlink" Target="http://A035@qq.com" TargetMode="External"/><Relationship Id="rId1" Type="http://schemas.openxmlformats.org/officeDocument/2006/relationships/hyperlink" Target="http://A023@qq.com" TargetMode="External"/><Relationship Id="rId6" Type="http://schemas.openxmlformats.org/officeDocument/2006/relationships/hyperlink" Target="http://A038@qq.com" TargetMode="External"/><Relationship Id="rId23" Type="http://schemas.openxmlformats.org/officeDocument/2006/relationships/hyperlink" Target="http://B015@qq.com" TargetMode="External"/><Relationship Id="rId28" Type="http://schemas.openxmlformats.org/officeDocument/2006/relationships/hyperlink" Target="http://B003@qq.com" TargetMode="External"/><Relationship Id="rId49" Type="http://schemas.openxmlformats.org/officeDocument/2006/relationships/hyperlink" Target="http://D041@qq.com" TargetMode="External"/><Relationship Id="rId114" Type="http://schemas.openxmlformats.org/officeDocument/2006/relationships/hyperlink" Target="http://C002@qq.com" TargetMode="External"/><Relationship Id="rId119" Type="http://schemas.openxmlformats.org/officeDocument/2006/relationships/hyperlink" Target="http://D035@qq.com" TargetMode="External"/><Relationship Id="rId44" Type="http://schemas.openxmlformats.org/officeDocument/2006/relationships/hyperlink" Target="http://A021@qq.com" TargetMode="External"/><Relationship Id="rId60" Type="http://schemas.openxmlformats.org/officeDocument/2006/relationships/hyperlink" Target="http://C030@qq.com" TargetMode="External"/><Relationship Id="rId65" Type="http://schemas.openxmlformats.org/officeDocument/2006/relationships/hyperlink" Target="http://D004@qq.com" TargetMode="External"/><Relationship Id="rId81" Type="http://schemas.openxmlformats.org/officeDocument/2006/relationships/hyperlink" Target="http://D019@qq.com" TargetMode="External"/><Relationship Id="rId86" Type="http://schemas.openxmlformats.org/officeDocument/2006/relationships/hyperlink" Target="http://B043@qq.com" TargetMode="External"/><Relationship Id="rId130" Type="http://schemas.openxmlformats.org/officeDocument/2006/relationships/hyperlink" Target="http://C033@qq.com" TargetMode="External"/><Relationship Id="rId135" Type="http://schemas.openxmlformats.org/officeDocument/2006/relationships/hyperlink" Target="http://D024@qq.com" TargetMode="External"/><Relationship Id="rId151" Type="http://schemas.openxmlformats.org/officeDocument/2006/relationships/hyperlink" Target="http://B040@qq.com" TargetMode="External"/><Relationship Id="rId156" Type="http://schemas.openxmlformats.org/officeDocument/2006/relationships/hyperlink" Target="http://C018@qq.com" TargetMode="External"/><Relationship Id="rId13" Type="http://schemas.openxmlformats.org/officeDocument/2006/relationships/hyperlink" Target="http://A033@qq.com" TargetMode="External"/><Relationship Id="rId18" Type="http://schemas.openxmlformats.org/officeDocument/2006/relationships/hyperlink" Target="http://B011@qq.com" TargetMode="External"/><Relationship Id="rId39" Type="http://schemas.openxmlformats.org/officeDocument/2006/relationships/hyperlink" Target="http://B009@qq.com" TargetMode="External"/><Relationship Id="rId109" Type="http://schemas.openxmlformats.org/officeDocument/2006/relationships/hyperlink" Target="http://C034@qq.com" TargetMode="External"/><Relationship Id="rId34" Type="http://schemas.openxmlformats.org/officeDocument/2006/relationships/hyperlink" Target="http://A018@qq.com" TargetMode="External"/><Relationship Id="rId50" Type="http://schemas.openxmlformats.org/officeDocument/2006/relationships/hyperlink" Target="http://C017@qq.com" TargetMode="External"/><Relationship Id="rId55" Type="http://schemas.openxmlformats.org/officeDocument/2006/relationships/hyperlink" Target="http://A022@qq.com" TargetMode="External"/><Relationship Id="rId76" Type="http://schemas.openxmlformats.org/officeDocument/2006/relationships/hyperlink" Target="http://B023@qq.com" TargetMode="External"/><Relationship Id="rId97" Type="http://schemas.openxmlformats.org/officeDocument/2006/relationships/hyperlink" Target="http://A041@qq.com" TargetMode="External"/><Relationship Id="rId104" Type="http://schemas.openxmlformats.org/officeDocument/2006/relationships/hyperlink" Target="http://C025@qq.com" TargetMode="External"/><Relationship Id="rId120" Type="http://schemas.openxmlformats.org/officeDocument/2006/relationships/hyperlink" Target="http://D003@qq.com" TargetMode="External"/><Relationship Id="rId125" Type="http://schemas.openxmlformats.org/officeDocument/2006/relationships/hyperlink" Target="http://C026@qq.com" TargetMode="External"/><Relationship Id="rId141" Type="http://schemas.openxmlformats.org/officeDocument/2006/relationships/hyperlink" Target="http://C009@qq.com" TargetMode="External"/><Relationship Id="rId146" Type="http://schemas.openxmlformats.org/officeDocument/2006/relationships/hyperlink" Target="http://D002@qq.com" TargetMode="External"/><Relationship Id="rId7" Type="http://schemas.openxmlformats.org/officeDocument/2006/relationships/hyperlink" Target="http://A007@qq.com" TargetMode="External"/><Relationship Id="rId71" Type="http://schemas.openxmlformats.org/officeDocument/2006/relationships/hyperlink" Target="http://B016@qq.com" TargetMode="External"/><Relationship Id="rId92" Type="http://schemas.openxmlformats.org/officeDocument/2006/relationships/hyperlink" Target="http://D005@qq.com" TargetMode="External"/><Relationship Id="rId162" Type="http://schemas.openxmlformats.org/officeDocument/2006/relationships/hyperlink" Target="http://D034@qq.com" TargetMode="External"/><Relationship Id="rId2" Type="http://schemas.openxmlformats.org/officeDocument/2006/relationships/hyperlink" Target="http://A031@qq.com" TargetMode="External"/><Relationship Id="rId29" Type="http://schemas.openxmlformats.org/officeDocument/2006/relationships/hyperlink" Target="http://C011@qq.com" TargetMode="External"/><Relationship Id="rId24" Type="http://schemas.openxmlformats.org/officeDocument/2006/relationships/hyperlink" Target="http://A010@qq.com" TargetMode="External"/><Relationship Id="rId40" Type="http://schemas.openxmlformats.org/officeDocument/2006/relationships/hyperlink" Target="http://C038@qq.com" TargetMode="External"/><Relationship Id="rId45" Type="http://schemas.openxmlformats.org/officeDocument/2006/relationships/hyperlink" Target="http://B007@qq.com" TargetMode="External"/><Relationship Id="rId66" Type="http://schemas.openxmlformats.org/officeDocument/2006/relationships/hyperlink" Target="http://B018@qq.com" TargetMode="External"/><Relationship Id="rId87" Type="http://schemas.openxmlformats.org/officeDocument/2006/relationships/hyperlink" Target="http://B034@qq.com" TargetMode="External"/><Relationship Id="rId110" Type="http://schemas.openxmlformats.org/officeDocument/2006/relationships/hyperlink" Target="http://C019@qq.com" TargetMode="External"/><Relationship Id="rId115" Type="http://schemas.openxmlformats.org/officeDocument/2006/relationships/hyperlink" Target="http://D040@qq.com" TargetMode="External"/><Relationship Id="rId131" Type="http://schemas.openxmlformats.org/officeDocument/2006/relationships/hyperlink" Target="http://A024@qq.com" TargetMode="External"/><Relationship Id="rId136" Type="http://schemas.openxmlformats.org/officeDocument/2006/relationships/hyperlink" Target="http://D017@qq.com" TargetMode="External"/><Relationship Id="rId157" Type="http://schemas.openxmlformats.org/officeDocument/2006/relationships/hyperlink" Target="http://D006@qq.com" TargetMode="External"/><Relationship Id="rId61" Type="http://schemas.openxmlformats.org/officeDocument/2006/relationships/hyperlink" Target="http://D031@qq.com" TargetMode="External"/><Relationship Id="rId82" Type="http://schemas.openxmlformats.org/officeDocument/2006/relationships/hyperlink" Target="http://B029@qq.com" TargetMode="External"/><Relationship Id="rId152" Type="http://schemas.openxmlformats.org/officeDocument/2006/relationships/hyperlink" Target="http://C024@qq.com" TargetMode="External"/><Relationship Id="rId19" Type="http://schemas.openxmlformats.org/officeDocument/2006/relationships/hyperlink" Target="http://A043@qq.com" TargetMode="External"/><Relationship Id="rId14" Type="http://schemas.openxmlformats.org/officeDocument/2006/relationships/hyperlink" Target="http://A015@qq.com" TargetMode="External"/><Relationship Id="rId30" Type="http://schemas.openxmlformats.org/officeDocument/2006/relationships/hyperlink" Target="http://B017@qq.com" TargetMode="External"/><Relationship Id="rId35" Type="http://schemas.openxmlformats.org/officeDocument/2006/relationships/hyperlink" Target="http://A005@qq.com" TargetMode="External"/><Relationship Id="rId56" Type="http://schemas.openxmlformats.org/officeDocument/2006/relationships/hyperlink" Target="http://A003@qq.com" TargetMode="External"/><Relationship Id="rId77" Type="http://schemas.openxmlformats.org/officeDocument/2006/relationships/hyperlink" Target="http://B035@qq.com" TargetMode="External"/><Relationship Id="rId100" Type="http://schemas.openxmlformats.org/officeDocument/2006/relationships/hyperlink" Target="http://B022@qq.com" TargetMode="External"/><Relationship Id="rId105" Type="http://schemas.openxmlformats.org/officeDocument/2006/relationships/hyperlink" Target="http://C021@qq.com" TargetMode="External"/><Relationship Id="rId126" Type="http://schemas.openxmlformats.org/officeDocument/2006/relationships/hyperlink" Target="http://A040@qq.com" TargetMode="External"/><Relationship Id="rId147" Type="http://schemas.openxmlformats.org/officeDocument/2006/relationships/hyperlink" Target="http://B001@qq.com" TargetMode="External"/><Relationship Id="rId8" Type="http://schemas.openxmlformats.org/officeDocument/2006/relationships/hyperlink" Target="http://A004@qq.com" TargetMode="External"/><Relationship Id="rId51" Type="http://schemas.openxmlformats.org/officeDocument/2006/relationships/hyperlink" Target="http://B013@qq.com" TargetMode="External"/><Relationship Id="rId72" Type="http://schemas.openxmlformats.org/officeDocument/2006/relationships/hyperlink" Target="http://D026@qq.com" TargetMode="External"/><Relationship Id="rId93" Type="http://schemas.openxmlformats.org/officeDocument/2006/relationships/hyperlink" Target="http://D018@qq.com" TargetMode="External"/><Relationship Id="rId98" Type="http://schemas.openxmlformats.org/officeDocument/2006/relationships/hyperlink" Target="http://B032@qq.com" TargetMode="External"/><Relationship Id="rId121" Type="http://schemas.openxmlformats.org/officeDocument/2006/relationships/hyperlink" Target="http://D012@qq.com" TargetMode="External"/><Relationship Id="rId142" Type="http://schemas.openxmlformats.org/officeDocument/2006/relationships/hyperlink" Target="http://A034@qq.com" TargetMode="External"/><Relationship Id="rId163" Type="http://schemas.openxmlformats.org/officeDocument/2006/relationships/hyperlink" Target="http://C020@qq.com" TargetMode="External"/><Relationship Id="rId3" Type="http://schemas.openxmlformats.org/officeDocument/2006/relationships/hyperlink" Target="http://A036@qq.com" TargetMode="External"/><Relationship Id="rId25" Type="http://schemas.openxmlformats.org/officeDocument/2006/relationships/hyperlink" Target="http://B004@qq.com" TargetMode="External"/><Relationship Id="rId46" Type="http://schemas.openxmlformats.org/officeDocument/2006/relationships/hyperlink" Target="http://B021@qq.com" TargetMode="External"/><Relationship Id="rId67" Type="http://schemas.openxmlformats.org/officeDocument/2006/relationships/hyperlink" Target="http://D020@qq.com" TargetMode="External"/><Relationship Id="rId116" Type="http://schemas.openxmlformats.org/officeDocument/2006/relationships/hyperlink" Target="http://C036@qq.com" TargetMode="External"/><Relationship Id="rId137" Type="http://schemas.openxmlformats.org/officeDocument/2006/relationships/hyperlink" Target="http://D038@qq.com" TargetMode="External"/><Relationship Id="rId158" Type="http://schemas.openxmlformats.org/officeDocument/2006/relationships/hyperlink" Target="http://D033@qq.com" TargetMode="External"/><Relationship Id="rId20" Type="http://schemas.openxmlformats.org/officeDocument/2006/relationships/hyperlink" Target="http://A025@qq.com" TargetMode="External"/><Relationship Id="rId41" Type="http://schemas.openxmlformats.org/officeDocument/2006/relationships/hyperlink" Target="http://A026@qq.com" TargetMode="External"/><Relationship Id="rId62" Type="http://schemas.openxmlformats.org/officeDocument/2006/relationships/hyperlink" Target="http://A017@qq.com" TargetMode="External"/><Relationship Id="rId83" Type="http://schemas.openxmlformats.org/officeDocument/2006/relationships/hyperlink" Target="http://A037@qq.com" TargetMode="External"/><Relationship Id="rId88" Type="http://schemas.openxmlformats.org/officeDocument/2006/relationships/hyperlink" Target="http://D007@qq.com" TargetMode="External"/><Relationship Id="rId111" Type="http://schemas.openxmlformats.org/officeDocument/2006/relationships/hyperlink" Target="http://B031@qq.com" TargetMode="External"/><Relationship Id="rId132" Type="http://schemas.openxmlformats.org/officeDocument/2006/relationships/hyperlink" Target="http://D027@qq.com" TargetMode="External"/><Relationship Id="rId153" Type="http://schemas.openxmlformats.org/officeDocument/2006/relationships/hyperlink" Target="http://D046@qq.com" TargetMode="External"/><Relationship Id="rId15" Type="http://schemas.openxmlformats.org/officeDocument/2006/relationships/hyperlink" Target="http://A006@qq.com" TargetMode="External"/><Relationship Id="rId36" Type="http://schemas.openxmlformats.org/officeDocument/2006/relationships/hyperlink" Target="http://B010@qq.com" TargetMode="External"/><Relationship Id="rId57" Type="http://schemas.openxmlformats.org/officeDocument/2006/relationships/hyperlink" Target="http://B041@qq.com" TargetMode="External"/><Relationship Id="rId106" Type="http://schemas.openxmlformats.org/officeDocument/2006/relationships/hyperlink" Target="http://C031@qq.com" TargetMode="External"/><Relationship Id="rId127" Type="http://schemas.openxmlformats.org/officeDocument/2006/relationships/hyperlink" Target="http://C039@qq.com" TargetMode="External"/><Relationship Id="rId10" Type="http://schemas.openxmlformats.org/officeDocument/2006/relationships/hyperlink" Target="http://A011@qq.com" TargetMode="External"/><Relationship Id="rId31" Type="http://schemas.openxmlformats.org/officeDocument/2006/relationships/hyperlink" Target="http://B005@qq.com" TargetMode="External"/><Relationship Id="rId52" Type="http://schemas.openxmlformats.org/officeDocument/2006/relationships/hyperlink" Target="http://C015@qq.com" TargetMode="External"/><Relationship Id="rId73" Type="http://schemas.openxmlformats.org/officeDocument/2006/relationships/hyperlink" Target="http://B028@qq.com" TargetMode="External"/><Relationship Id="rId78" Type="http://schemas.openxmlformats.org/officeDocument/2006/relationships/hyperlink" Target="http://D029@qq.com" TargetMode="External"/><Relationship Id="rId94" Type="http://schemas.openxmlformats.org/officeDocument/2006/relationships/hyperlink" Target="http://D001@qq.com" TargetMode="External"/><Relationship Id="rId99" Type="http://schemas.openxmlformats.org/officeDocument/2006/relationships/hyperlink" Target="http://A028@qq.com" TargetMode="External"/><Relationship Id="rId101" Type="http://schemas.openxmlformats.org/officeDocument/2006/relationships/hyperlink" Target="http://A020@qq.com" TargetMode="External"/><Relationship Id="rId122" Type="http://schemas.openxmlformats.org/officeDocument/2006/relationships/hyperlink" Target="http://C035@qq.com" TargetMode="External"/><Relationship Id="rId143" Type="http://schemas.openxmlformats.org/officeDocument/2006/relationships/hyperlink" Target="http://D022@qq.com" TargetMode="External"/><Relationship Id="rId148" Type="http://schemas.openxmlformats.org/officeDocument/2006/relationships/hyperlink" Target="http://C032@qq.com" TargetMode="External"/><Relationship Id="rId4" Type="http://schemas.openxmlformats.org/officeDocument/2006/relationships/hyperlink" Target="http://B033@qq.com" TargetMode="External"/><Relationship Id="rId9" Type="http://schemas.openxmlformats.org/officeDocument/2006/relationships/hyperlink" Target="http://B019@qq.com" TargetMode="External"/><Relationship Id="rId26" Type="http://schemas.openxmlformats.org/officeDocument/2006/relationships/hyperlink" Target="http://A008@qq.com" TargetMode="External"/><Relationship Id="rId47" Type="http://schemas.openxmlformats.org/officeDocument/2006/relationships/hyperlink" Target="http://B025@qq.com" TargetMode="External"/><Relationship Id="rId68" Type="http://schemas.openxmlformats.org/officeDocument/2006/relationships/hyperlink" Target="http://C001@qq.com" TargetMode="External"/><Relationship Id="rId89" Type="http://schemas.openxmlformats.org/officeDocument/2006/relationships/hyperlink" Target="http://C007@qq.com" TargetMode="External"/><Relationship Id="rId112" Type="http://schemas.openxmlformats.org/officeDocument/2006/relationships/hyperlink" Target="http://B006@qq.com" TargetMode="External"/><Relationship Id="rId133" Type="http://schemas.openxmlformats.org/officeDocument/2006/relationships/hyperlink" Target="http://D015@qq.com" TargetMode="External"/><Relationship Id="rId154" Type="http://schemas.openxmlformats.org/officeDocument/2006/relationships/hyperlink" Target="http://C041@qq.com" TargetMode="External"/><Relationship Id="rId16" Type="http://schemas.openxmlformats.org/officeDocument/2006/relationships/hyperlink" Target="http://A039@qq.com" TargetMode="External"/><Relationship Id="rId37" Type="http://schemas.openxmlformats.org/officeDocument/2006/relationships/hyperlink" Target="http://B026@qq.com" TargetMode="External"/><Relationship Id="rId58" Type="http://schemas.openxmlformats.org/officeDocument/2006/relationships/hyperlink" Target="http://B036@qq.com" TargetMode="External"/><Relationship Id="rId79" Type="http://schemas.openxmlformats.org/officeDocument/2006/relationships/hyperlink" Target="http://C028@qq.com" TargetMode="External"/><Relationship Id="rId102" Type="http://schemas.openxmlformats.org/officeDocument/2006/relationships/hyperlink" Target="http://A032@qq.com" TargetMode="External"/><Relationship Id="rId123" Type="http://schemas.openxmlformats.org/officeDocument/2006/relationships/hyperlink" Target="http://D021@qq.com" TargetMode="External"/><Relationship Id="rId144" Type="http://schemas.openxmlformats.org/officeDocument/2006/relationships/hyperlink" Target="http://D013@qq.com" TargetMode="External"/><Relationship Id="rId90" Type="http://schemas.openxmlformats.org/officeDocument/2006/relationships/hyperlink" Target="http://B042@qq.com" TargetMode="External"/><Relationship Id="rId27" Type="http://schemas.openxmlformats.org/officeDocument/2006/relationships/hyperlink" Target="http://B002@qq.com" TargetMode="External"/><Relationship Id="rId48" Type="http://schemas.openxmlformats.org/officeDocument/2006/relationships/hyperlink" Target="http://B008@qq.com" TargetMode="External"/><Relationship Id="rId69" Type="http://schemas.openxmlformats.org/officeDocument/2006/relationships/hyperlink" Target="http://A009@qq.com" TargetMode="External"/><Relationship Id="rId113" Type="http://schemas.openxmlformats.org/officeDocument/2006/relationships/hyperlink" Target="http://C013@qq.com" TargetMode="External"/><Relationship Id="rId134" Type="http://schemas.openxmlformats.org/officeDocument/2006/relationships/hyperlink" Target="http://A042@qq.com" TargetMode="External"/><Relationship Id="rId80" Type="http://schemas.openxmlformats.org/officeDocument/2006/relationships/hyperlink" Target="http://D011@qq.com" TargetMode="External"/><Relationship Id="rId155" Type="http://schemas.openxmlformats.org/officeDocument/2006/relationships/hyperlink" Target="http://D036@qq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A018@qq.com" TargetMode="External"/><Relationship Id="rId21" Type="http://schemas.openxmlformats.org/officeDocument/2006/relationships/hyperlink" Target="http://B021@qq.com" TargetMode="External"/><Relationship Id="rId42" Type="http://schemas.openxmlformats.org/officeDocument/2006/relationships/hyperlink" Target="http://B026@qq.com" TargetMode="External"/><Relationship Id="rId63" Type="http://schemas.openxmlformats.org/officeDocument/2006/relationships/hyperlink" Target="http://A029@qq.com" TargetMode="External"/><Relationship Id="rId84" Type="http://schemas.openxmlformats.org/officeDocument/2006/relationships/hyperlink" Target="http://B017@qq.com" TargetMode="External"/><Relationship Id="rId138" Type="http://schemas.openxmlformats.org/officeDocument/2006/relationships/hyperlink" Target="http://B041@qq.com" TargetMode="External"/><Relationship Id="rId159" Type="http://schemas.openxmlformats.org/officeDocument/2006/relationships/hyperlink" Target="http://A042@qq.com" TargetMode="External"/><Relationship Id="rId107" Type="http://schemas.openxmlformats.org/officeDocument/2006/relationships/hyperlink" Target="http://C022@qq.com" TargetMode="External"/><Relationship Id="rId11" Type="http://schemas.openxmlformats.org/officeDocument/2006/relationships/hyperlink" Target="http://A023@qq.com" TargetMode="External"/><Relationship Id="rId32" Type="http://schemas.openxmlformats.org/officeDocument/2006/relationships/hyperlink" Target="http://A005@qq.com" TargetMode="External"/><Relationship Id="rId53" Type="http://schemas.openxmlformats.org/officeDocument/2006/relationships/hyperlink" Target="http://B025@qq.com" TargetMode="External"/><Relationship Id="rId74" Type="http://schemas.openxmlformats.org/officeDocument/2006/relationships/hyperlink" Target="http://A020@qq.com" TargetMode="External"/><Relationship Id="rId128" Type="http://schemas.openxmlformats.org/officeDocument/2006/relationships/hyperlink" Target="http://C040@qq.com" TargetMode="External"/><Relationship Id="rId149" Type="http://schemas.openxmlformats.org/officeDocument/2006/relationships/hyperlink" Target="http://D046@qq.com" TargetMode="External"/><Relationship Id="rId5" Type="http://schemas.openxmlformats.org/officeDocument/2006/relationships/hyperlink" Target="http://A010@qq.com" TargetMode="External"/><Relationship Id="rId95" Type="http://schemas.openxmlformats.org/officeDocument/2006/relationships/hyperlink" Target="http://B008@qq.com" TargetMode="External"/><Relationship Id="rId160" Type="http://schemas.openxmlformats.org/officeDocument/2006/relationships/hyperlink" Target="http://D017@qq.com" TargetMode="External"/><Relationship Id="rId22" Type="http://schemas.openxmlformats.org/officeDocument/2006/relationships/hyperlink" Target="http://A016@qq.com" TargetMode="External"/><Relationship Id="rId43" Type="http://schemas.openxmlformats.org/officeDocument/2006/relationships/hyperlink" Target="http://C003@qq.com" TargetMode="External"/><Relationship Id="rId64" Type="http://schemas.openxmlformats.org/officeDocument/2006/relationships/hyperlink" Target="http://B007@qq.com" TargetMode="External"/><Relationship Id="rId118" Type="http://schemas.openxmlformats.org/officeDocument/2006/relationships/hyperlink" Target="http://A003@qq.com" TargetMode="External"/><Relationship Id="rId139" Type="http://schemas.openxmlformats.org/officeDocument/2006/relationships/hyperlink" Target="http://C032@qq.com" TargetMode="External"/><Relationship Id="rId85" Type="http://schemas.openxmlformats.org/officeDocument/2006/relationships/hyperlink" Target="http://A015@qq.com" TargetMode="External"/><Relationship Id="rId150" Type="http://schemas.openxmlformats.org/officeDocument/2006/relationships/hyperlink" Target="http://D038@qq.com" TargetMode="External"/><Relationship Id="rId12" Type="http://schemas.openxmlformats.org/officeDocument/2006/relationships/hyperlink" Target="http://A043@qq.com" TargetMode="External"/><Relationship Id="rId17" Type="http://schemas.openxmlformats.org/officeDocument/2006/relationships/hyperlink" Target="http://B019@qq.com" TargetMode="External"/><Relationship Id="rId33" Type="http://schemas.openxmlformats.org/officeDocument/2006/relationships/hyperlink" Target="http://A006@qq.com" TargetMode="External"/><Relationship Id="rId38" Type="http://schemas.openxmlformats.org/officeDocument/2006/relationships/hyperlink" Target="http://C028@qq.com" TargetMode="External"/><Relationship Id="rId59" Type="http://schemas.openxmlformats.org/officeDocument/2006/relationships/hyperlink" Target="http://D010@qq.com" TargetMode="External"/><Relationship Id="rId103" Type="http://schemas.openxmlformats.org/officeDocument/2006/relationships/hyperlink" Target="http://C034@qq.com" TargetMode="External"/><Relationship Id="rId108" Type="http://schemas.openxmlformats.org/officeDocument/2006/relationships/hyperlink" Target="http://C042@qq.com" TargetMode="External"/><Relationship Id="rId124" Type="http://schemas.openxmlformats.org/officeDocument/2006/relationships/hyperlink" Target="http://A017@qq.com" TargetMode="External"/><Relationship Id="rId129" Type="http://schemas.openxmlformats.org/officeDocument/2006/relationships/hyperlink" Target="http://D009@qq.com" TargetMode="External"/><Relationship Id="rId54" Type="http://schemas.openxmlformats.org/officeDocument/2006/relationships/hyperlink" Target="http://C038@qq.com" TargetMode="External"/><Relationship Id="rId70" Type="http://schemas.openxmlformats.org/officeDocument/2006/relationships/hyperlink" Target="http://C033@qq.com" TargetMode="External"/><Relationship Id="rId75" Type="http://schemas.openxmlformats.org/officeDocument/2006/relationships/hyperlink" Target="http://C036@qq.com" TargetMode="External"/><Relationship Id="rId91" Type="http://schemas.openxmlformats.org/officeDocument/2006/relationships/hyperlink" Target="http://B037@qq.com" TargetMode="External"/><Relationship Id="rId96" Type="http://schemas.openxmlformats.org/officeDocument/2006/relationships/hyperlink" Target="http://B034@qq.com" TargetMode="External"/><Relationship Id="rId140" Type="http://schemas.openxmlformats.org/officeDocument/2006/relationships/hyperlink" Target="http://D013@qq.com" TargetMode="External"/><Relationship Id="rId145" Type="http://schemas.openxmlformats.org/officeDocument/2006/relationships/hyperlink" Target="http://D028@qq.com" TargetMode="External"/><Relationship Id="rId161" Type="http://schemas.openxmlformats.org/officeDocument/2006/relationships/hyperlink" Target="http://C023@qq.com" TargetMode="External"/><Relationship Id="rId1" Type="http://schemas.openxmlformats.org/officeDocument/2006/relationships/hyperlink" Target="http://A004@qq.com" TargetMode="External"/><Relationship Id="rId6" Type="http://schemas.openxmlformats.org/officeDocument/2006/relationships/hyperlink" Target="http://A001@qq.com" TargetMode="External"/><Relationship Id="rId23" Type="http://schemas.openxmlformats.org/officeDocument/2006/relationships/hyperlink" Target="http://C018@qq.com" TargetMode="External"/><Relationship Id="rId28" Type="http://schemas.openxmlformats.org/officeDocument/2006/relationships/hyperlink" Target="http://B020@qq.com" TargetMode="External"/><Relationship Id="rId49" Type="http://schemas.openxmlformats.org/officeDocument/2006/relationships/hyperlink" Target="http://D026@qq.com" TargetMode="External"/><Relationship Id="rId114" Type="http://schemas.openxmlformats.org/officeDocument/2006/relationships/hyperlink" Target="http://D018@qq.com" TargetMode="External"/><Relationship Id="rId119" Type="http://schemas.openxmlformats.org/officeDocument/2006/relationships/hyperlink" Target="http://A034@qq.com" TargetMode="External"/><Relationship Id="rId44" Type="http://schemas.openxmlformats.org/officeDocument/2006/relationships/hyperlink" Target="http://C009@qq.com" TargetMode="External"/><Relationship Id="rId60" Type="http://schemas.openxmlformats.org/officeDocument/2006/relationships/hyperlink" Target="http://A030@qq.com" TargetMode="External"/><Relationship Id="rId65" Type="http://schemas.openxmlformats.org/officeDocument/2006/relationships/hyperlink" Target="http://B031@qq.com" TargetMode="External"/><Relationship Id="rId81" Type="http://schemas.openxmlformats.org/officeDocument/2006/relationships/hyperlink" Target="http://B040@qq.com" TargetMode="External"/><Relationship Id="rId86" Type="http://schemas.openxmlformats.org/officeDocument/2006/relationships/hyperlink" Target="http://D036@qq.com" TargetMode="External"/><Relationship Id="rId130" Type="http://schemas.openxmlformats.org/officeDocument/2006/relationships/hyperlink" Target="http://D031@qq.com" TargetMode="External"/><Relationship Id="rId135" Type="http://schemas.openxmlformats.org/officeDocument/2006/relationships/hyperlink" Target="http://C019@qq.com" TargetMode="External"/><Relationship Id="rId151" Type="http://schemas.openxmlformats.org/officeDocument/2006/relationships/hyperlink" Target="http://D039@qq.com" TargetMode="External"/><Relationship Id="rId156" Type="http://schemas.openxmlformats.org/officeDocument/2006/relationships/hyperlink" Target="http://D006@qq.com" TargetMode="External"/><Relationship Id="rId13" Type="http://schemas.openxmlformats.org/officeDocument/2006/relationships/hyperlink" Target="http://A036@qq.com" TargetMode="External"/><Relationship Id="rId18" Type="http://schemas.openxmlformats.org/officeDocument/2006/relationships/hyperlink" Target="http://B043@qq.com" TargetMode="External"/><Relationship Id="rId39" Type="http://schemas.openxmlformats.org/officeDocument/2006/relationships/hyperlink" Target="http://B015@qq.com" TargetMode="External"/><Relationship Id="rId109" Type="http://schemas.openxmlformats.org/officeDocument/2006/relationships/hyperlink" Target="http://D012@qq.com" TargetMode="External"/><Relationship Id="rId34" Type="http://schemas.openxmlformats.org/officeDocument/2006/relationships/hyperlink" Target="http://A038@qq.com" TargetMode="External"/><Relationship Id="rId50" Type="http://schemas.openxmlformats.org/officeDocument/2006/relationships/hyperlink" Target="http://A002@qq.com" TargetMode="External"/><Relationship Id="rId55" Type="http://schemas.openxmlformats.org/officeDocument/2006/relationships/hyperlink" Target="http://D008@qq.com" TargetMode="External"/><Relationship Id="rId76" Type="http://schemas.openxmlformats.org/officeDocument/2006/relationships/hyperlink" Target="http://C012@qq.com" TargetMode="External"/><Relationship Id="rId97" Type="http://schemas.openxmlformats.org/officeDocument/2006/relationships/hyperlink" Target="http://B003@qq.com" TargetMode="External"/><Relationship Id="rId104" Type="http://schemas.openxmlformats.org/officeDocument/2006/relationships/hyperlink" Target="http://C001@qq.com" TargetMode="External"/><Relationship Id="rId120" Type="http://schemas.openxmlformats.org/officeDocument/2006/relationships/hyperlink" Target="http://B022@qq.com" TargetMode="External"/><Relationship Id="rId125" Type="http://schemas.openxmlformats.org/officeDocument/2006/relationships/hyperlink" Target="http://C041@qq.com" TargetMode="External"/><Relationship Id="rId141" Type="http://schemas.openxmlformats.org/officeDocument/2006/relationships/hyperlink" Target="http://C005@qq.com" TargetMode="External"/><Relationship Id="rId146" Type="http://schemas.openxmlformats.org/officeDocument/2006/relationships/hyperlink" Target="http://D021@qq.com" TargetMode="External"/><Relationship Id="rId7" Type="http://schemas.openxmlformats.org/officeDocument/2006/relationships/hyperlink" Target="http://A025@qq.com" TargetMode="External"/><Relationship Id="rId71" Type="http://schemas.openxmlformats.org/officeDocument/2006/relationships/hyperlink" Target="http://B036@qq.com" TargetMode="External"/><Relationship Id="rId92" Type="http://schemas.openxmlformats.org/officeDocument/2006/relationships/hyperlink" Target="http://D014@qq.com" TargetMode="External"/><Relationship Id="rId162" Type="http://schemas.openxmlformats.org/officeDocument/2006/relationships/hyperlink" Target="http://A035@qq.com" TargetMode="External"/><Relationship Id="rId2" Type="http://schemas.openxmlformats.org/officeDocument/2006/relationships/hyperlink" Target="http://A007@qq.com" TargetMode="External"/><Relationship Id="rId29" Type="http://schemas.openxmlformats.org/officeDocument/2006/relationships/hyperlink" Target="http://B035@qq.com" TargetMode="External"/><Relationship Id="rId24" Type="http://schemas.openxmlformats.org/officeDocument/2006/relationships/hyperlink" Target="http://A037@qq.com" TargetMode="External"/><Relationship Id="rId40" Type="http://schemas.openxmlformats.org/officeDocument/2006/relationships/hyperlink" Target="http://A024@qq.com" TargetMode="External"/><Relationship Id="rId45" Type="http://schemas.openxmlformats.org/officeDocument/2006/relationships/hyperlink" Target="http://C011@qq.com" TargetMode="External"/><Relationship Id="rId66" Type="http://schemas.openxmlformats.org/officeDocument/2006/relationships/hyperlink" Target="http://B018@qq.com" TargetMode="External"/><Relationship Id="rId87" Type="http://schemas.openxmlformats.org/officeDocument/2006/relationships/hyperlink" Target="http://D022@qq.com" TargetMode="External"/><Relationship Id="rId110" Type="http://schemas.openxmlformats.org/officeDocument/2006/relationships/hyperlink" Target="http://B028@qq.com" TargetMode="External"/><Relationship Id="rId115" Type="http://schemas.openxmlformats.org/officeDocument/2006/relationships/hyperlink" Target="http://C030@qq.com" TargetMode="External"/><Relationship Id="rId131" Type="http://schemas.openxmlformats.org/officeDocument/2006/relationships/hyperlink" Target="http://B033@qq.com" TargetMode="External"/><Relationship Id="rId136" Type="http://schemas.openxmlformats.org/officeDocument/2006/relationships/hyperlink" Target="http://D003@qq.com" TargetMode="External"/><Relationship Id="rId157" Type="http://schemas.openxmlformats.org/officeDocument/2006/relationships/hyperlink" Target="http://B042@qq.com" TargetMode="External"/><Relationship Id="rId61" Type="http://schemas.openxmlformats.org/officeDocument/2006/relationships/hyperlink" Target="http://A022@qq.com" TargetMode="External"/><Relationship Id="rId82" Type="http://schemas.openxmlformats.org/officeDocument/2006/relationships/hyperlink" Target="http://C002@qq.com" TargetMode="External"/><Relationship Id="rId152" Type="http://schemas.openxmlformats.org/officeDocument/2006/relationships/hyperlink" Target="http://D016@qq.com" TargetMode="External"/><Relationship Id="rId19" Type="http://schemas.openxmlformats.org/officeDocument/2006/relationships/hyperlink" Target="http://D034@qq.com" TargetMode="External"/><Relationship Id="rId14" Type="http://schemas.openxmlformats.org/officeDocument/2006/relationships/hyperlink" Target="http://A021@qq.com" TargetMode="External"/><Relationship Id="rId30" Type="http://schemas.openxmlformats.org/officeDocument/2006/relationships/hyperlink" Target="http://D019@qq.com" TargetMode="External"/><Relationship Id="rId35" Type="http://schemas.openxmlformats.org/officeDocument/2006/relationships/hyperlink" Target="http://C027@qq.com" TargetMode="External"/><Relationship Id="rId56" Type="http://schemas.openxmlformats.org/officeDocument/2006/relationships/hyperlink" Target="http://C025@qq.com" TargetMode="External"/><Relationship Id="rId77" Type="http://schemas.openxmlformats.org/officeDocument/2006/relationships/hyperlink" Target="http://D004@qq.com" TargetMode="External"/><Relationship Id="rId100" Type="http://schemas.openxmlformats.org/officeDocument/2006/relationships/hyperlink" Target="http://C021@qq.com" TargetMode="External"/><Relationship Id="rId105" Type="http://schemas.openxmlformats.org/officeDocument/2006/relationships/hyperlink" Target="http://D005@qq.com" TargetMode="External"/><Relationship Id="rId126" Type="http://schemas.openxmlformats.org/officeDocument/2006/relationships/hyperlink" Target="http://A040@qq.com" TargetMode="External"/><Relationship Id="rId147" Type="http://schemas.openxmlformats.org/officeDocument/2006/relationships/hyperlink" Target="http://D015@qq.com" TargetMode="External"/><Relationship Id="rId8" Type="http://schemas.openxmlformats.org/officeDocument/2006/relationships/hyperlink" Target="http://A014@qq.com" TargetMode="External"/><Relationship Id="rId51" Type="http://schemas.openxmlformats.org/officeDocument/2006/relationships/hyperlink" Target="http://D040@qq.com" TargetMode="External"/><Relationship Id="rId72" Type="http://schemas.openxmlformats.org/officeDocument/2006/relationships/hyperlink" Target="http://A028@qq.com" TargetMode="External"/><Relationship Id="rId93" Type="http://schemas.openxmlformats.org/officeDocument/2006/relationships/hyperlink" Target="http://C026@qq.com" TargetMode="External"/><Relationship Id="rId98" Type="http://schemas.openxmlformats.org/officeDocument/2006/relationships/hyperlink" Target="http://D025@qq.com" TargetMode="External"/><Relationship Id="rId121" Type="http://schemas.openxmlformats.org/officeDocument/2006/relationships/hyperlink" Target="http://D035@qq.com" TargetMode="External"/><Relationship Id="rId142" Type="http://schemas.openxmlformats.org/officeDocument/2006/relationships/hyperlink" Target="http://D029@qq.com" TargetMode="External"/><Relationship Id="rId163" Type="http://schemas.openxmlformats.org/officeDocument/2006/relationships/hyperlink" Target="http://D033@qq.com" TargetMode="External"/><Relationship Id="rId3" Type="http://schemas.openxmlformats.org/officeDocument/2006/relationships/hyperlink" Target="http://B011@qq.com" TargetMode="External"/><Relationship Id="rId25" Type="http://schemas.openxmlformats.org/officeDocument/2006/relationships/hyperlink" Target="http://A031@qq.com" TargetMode="External"/><Relationship Id="rId46" Type="http://schemas.openxmlformats.org/officeDocument/2006/relationships/hyperlink" Target="http://B009@qq.com" TargetMode="External"/><Relationship Id="rId67" Type="http://schemas.openxmlformats.org/officeDocument/2006/relationships/hyperlink" Target="http://B001@qq.com" TargetMode="External"/><Relationship Id="rId116" Type="http://schemas.openxmlformats.org/officeDocument/2006/relationships/hyperlink" Target="http://A012@qq.com" TargetMode="External"/><Relationship Id="rId137" Type="http://schemas.openxmlformats.org/officeDocument/2006/relationships/hyperlink" Target="http://A013@qq.com" TargetMode="External"/><Relationship Id="rId158" Type="http://schemas.openxmlformats.org/officeDocument/2006/relationships/hyperlink" Target="http://D011@qq.com" TargetMode="External"/><Relationship Id="rId20" Type="http://schemas.openxmlformats.org/officeDocument/2006/relationships/hyperlink" Target="http://A026@qq.com" TargetMode="External"/><Relationship Id="rId41" Type="http://schemas.openxmlformats.org/officeDocument/2006/relationships/hyperlink" Target="http://B023@qq.com" TargetMode="External"/><Relationship Id="rId62" Type="http://schemas.openxmlformats.org/officeDocument/2006/relationships/hyperlink" Target="http://D041@qq.com" TargetMode="External"/><Relationship Id="rId83" Type="http://schemas.openxmlformats.org/officeDocument/2006/relationships/hyperlink" Target="http://B038@qq.com" TargetMode="External"/><Relationship Id="rId88" Type="http://schemas.openxmlformats.org/officeDocument/2006/relationships/hyperlink" Target="http://B032@qq.com" TargetMode="External"/><Relationship Id="rId111" Type="http://schemas.openxmlformats.org/officeDocument/2006/relationships/hyperlink" Target="http://D044@qq.com" TargetMode="External"/><Relationship Id="rId132" Type="http://schemas.openxmlformats.org/officeDocument/2006/relationships/hyperlink" Target="http://D030@qq.com" TargetMode="External"/><Relationship Id="rId153" Type="http://schemas.openxmlformats.org/officeDocument/2006/relationships/hyperlink" Target="http://C024@qq.com" TargetMode="External"/><Relationship Id="rId15" Type="http://schemas.openxmlformats.org/officeDocument/2006/relationships/hyperlink" Target="http://B013@qq.com" TargetMode="External"/><Relationship Id="rId36" Type="http://schemas.openxmlformats.org/officeDocument/2006/relationships/hyperlink" Target="http://B029@qq.com" TargetMode="External"/><Relationship Id="rId57" Type="http://schemas.openxmlformats.org/officeDocument/2006/relationships/hyperlink" Target="http://C013@qq.com" TargetMode="External"/><Relationship Id="rId106" Type="http://schemas.openxmlformats.org/officeDocument/2006/relationships/hyperlink" Target="http://D032@qq.com" TargetMode="External"/><Relationship Id="rId127" Type="http://schemas.openxmlformats.org/officeDocument/2006/relationships/hyperlink" Target="http://B027@qq.com" TargetMode="External"/><Relationship Id="rId10" Type="http://schemas.openxmlformats.org/officeDocument/2006/relationships/hyperlink" Target="http://A039@qq.com" TargetMode="External"/><Relationship Id="rId31" Type="http://schemas.openxmlformats.org/officeDocument/2006/relationships/hyperlink" Target="http://C017@qq.com" TargetMode="External"/><Relationship Id="rId52" Type="http://schemas.openxmlformats.org/officeDocument/2006/relationships/hyperlink" Target="http://A032@qq.com" TargetMode="External"/><Relationship Id="rId73" Type="http://schemas.openxmlformats.org/officeDocument/2006/relationships/hyperlink" Target="http://C031@qq.com" TargetMode="External"/><Relationship Id="rId78" Type="http://schemas.openxmlformats.org/officeDocument/2006/relationships/hyperlink" Target="http://C008@qq.com" TargetMode="External"/><Relationship Id="rId94" Type="http://schemas.openxmlformats.org/officeDocument/2006/relationships/hyperlink" Target="http://D020@qq.com" TargetMode="External"/><Relationship Id="rId99" Type="http://schemas.openxmlformats.org/officeDocument/2006/relationships/hyperlink" Target="http://B024@qq.com" TargetMode="External"/><Relationship Id="rId101" Type="http://schemas.openxmlformats.org/officeDocument/2006/relationships/hyperlink" Target="http://C010@qq.com" TargetMode="External"/><Relationship Id="rId122" Type="http://schemas.openxmlformats.org/officeDocument/2006/relationships/hyperlink" Target="http://D037@qq.com" TargetMode="External"/><Relationship Id="rId143" Type="http://schemas.openxmlformats.org/officeDocument/2006/relationships/hyperlink" Target="http://D024@qq.com" TargetMode="External"/><Relationship Id="rId148" Type="http://schemas.openxmlformats.org/officeDocument/2006/relationships/hyperlink" Target="http://D001@qq.com" TargetMode="External"/><Relationship Id="rId164" Type="http://schemas.openxmlformats.org/officeDocument/2006/relationships/hyperlink" Target="http://D042@qq.com" TargetMode="External"/><Relationship Id="rId4" Type="http://schemas.openxmlformats.org/officeDocument/2006/relationships/hyperlink" Target="http://A011@qq.com" TargetMode="External"/><Relationship Id="rId9" Type="http://schemas.openxmlformats.org/officeDocument/2006/relationships/hyperlink" Target="http://B005@qq.com" TargetMode="External"/><Relationship Id="rId26" Type="http://schemas.openxmlformats.org/officeDocument/2006/relationships/hyperlink" Target="http://B002@qq.com" TargetMode="External"/><Relationship Id="rId47" Type="http://schemas.openxmlformats.org/officeDocument/2006/relationships/hyperlink" Target="http://B006@qq.com" TargetMode="External"/><Relationship Id="rId68" Type="http://schemas.openxmlformats.org/officeDocument/2006/relationships/hyperlink" Target="http://A033@qq.com" TargetMode="External"/><Relationship Id="rId89" Type="http://schemas.openxmlformats.org/officeDocument/2006/relationships/hyperlink" Target="http://B030@qq.com" TargetMode="External"/><Relationship Id="rId112" Type="http://schemas.openxmlformats.org/officeDocument/2006/relationships/hyperlink" Target="http://C039@qq.com" TargetMode="External"/><Relationship Id="rId133" Type="http://schemas.openxmlformats.org/officeDocument/2006/relationships/hyperlink" Target="http://D027@qq.com" TargetMode="External"/><Relationship Id="rId154" Type="http://schemas.openxmlformats.org/officeDocument/2006/relationships/hyperlink" Target="http://C035@qq.com" TargetMode="External"/><Relationship Id="rId16" Type="http://schemas.openxmlformats.org/officeDocument/2006/relationships/hyperlink" Target="http://A009@qq.com" TargetMode="External"/><Relationship Id="rId37" Type="http://schemas.openxmlformats.org/officeDocument/2006/relationships/hyperlink" Target="http://B010@qq.com" TargetMode="External"/><Relationship Id="rId58" Type="http://schemas.openxmlformats.org/officeDocument/2006/relationships/hyperlink" Target="http://C006@qq.com" TargetMode="External"/><Relationship Id="rId79" Type="http://schemas.openxmlformats.org/officeDocument/2006/relationships/hyperlink" Target="http://B039@qq.com" TargetMode="External"/><Relationship Id="rId102" Type="http://schemas.openxmlformats.org/officeDocument/2006/relationships/hyperlink" Target="http://D007@qq.com" TargetMode="External"/><Relationship Id="rId123" Type="http://schemas.openxmlformats.org/officeDocument/2006/relationships/hyperlink" Target="http://C029@qq.com" TargetMode="External"/><Relationship Id="rId144" Type="http://schemas.openxmlformats.org/officeDocument/2006/relationships/hyperlink" Target="http://D045@qq.com" TargetMode="External"/><Relationship Id="rId90" Type="http://schemas.openxmlformats.org/officeDocument/2006/relationships/hyperlink" Target="http://B004@qq.com" TargetMode="External"/><Relationship Id="rId27" Type="http://schemas.openxmlformats.org/officeDocument/2006/relationships/hyperlink" Target="http://C015@qq.com" TargetMode="External"/><Relationship Id="rId48" Type="http://schemas.openxmlformats.org/officeDocument/2006/relationships/hyperlink" Target="http://C004@qq.com" TargetMode="External"/><Relationship Id="rId69" Type="http://schemas.openxmlformats.org/officeDocument/2006/relationships/hyperlink" Target="http://A008@qq.com" TargetMode="External"/><Relationship Id="rId113" Type="http://schemas.openxmlformats.org/officeDocument/2006/relationships/hyperlink" Target="http://A041@qq.com" TargetMode="External"/><Relationship Id="rId134" Type="http://schemas.openxmlformats.org/officeDocument/2006/relationships/hyperlink" Target="http://D002@qq.com" TargetMode="External"/><Relationship Id="rId80" Type="http://schemas.openxmlformats.org/officeDocument/2006/relationships/hyperlink" Target="http://C007@qq.com" TargetMode="External"/><Relationship Id="rId155" Type="http://schemas.openxmlformats.org/officeDocument/2006/relationships/hyperlink" Target="http://B016@qq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C032@qq.com" TargetMode="External"/><Relationship Id="rId21" Type="http://schemas.openxmlformats.org/officeDocument/2006/relationships/hyperlink" Target="http://A039@qq.com" TargetMode="External"/><Relationship Id="rId42" Type="http://schemas.openxmlformats.org/officeDocument/2006/relationships/hyperlink" Target="http://A013@qq.com" TargetMode="External"/><Relationship Id="rId63" Type="http://schemas.openxmlformats.org/officeDocument/2006/relationships/hyperlink" Target="http://D025@qq.com" TargetMode="External"/><Relationship Id="rId84" Type="http://schemas.openxmlformats.org/officeDocument/2006/relationships/hyperlink" Target="http://C005@qq.com" TargetMode="External"/><Relationship Id="rId138" Type="http://schemas.openxmlformats.org/officeDocument/2006/relationships/hyperlink" Target="http://C030@qq.com" TargetMode="External"/><Relationship Id="rId159" Type="http://schemas.openxmlformats.org/officeDocument/2006/relationships/hyperlink" Target="http://A042@qq.com" TargetMode="External"/><Relationship Id="rId107" Type="http://schemas.openxmlformats.org/officeDocument/2006/relationships/hyperlink" Target="http://C012@qq.com" TargetMode="External"/><Relationship Id="rId11" Type="http://schemas.openxmlformats.org/officeDocument/2006/relationships/hyperlink" Target="http://D040@qq.com" TargetMode="External"/><Relationship Id="rId32" Type="http://schemas.openxmlformats.org/officeDocument/2006/relationships/hyperlink" Target="http://D009@qq.com" TargetMode="External"/><Relationship Id="rId53" Type="http://schemas.openxmlformats.org/officeDocument/2006/relationships/hyperlink" Target="http://A017@qq.com" TargetMode="External"/><Relationship Id="rId74" Type="http://schemas.openxmlformats.org/officeDocument/2006/relationships/hyperlink" Target="http://A018@qq.com" TargetMode="External"/><Relationship Id="rId128" Type="http://schemas.openxmlformats.org/officeDocument/2006/relationships/hyperlink" Target="http://B035@qq.com" TargetMode="External"/><Relationship Id="rId149" Type="http://schemas.openxmlformats.org/officeDocument/2006/relationships/hyperlink" Target="http://D017@qq.com" TargetMode="External"/><Relationship Id="rId5" Type="http://schemas.openxmlformats.org/officeDocument/2006/relationships/hyperlink" Target="http://A029@qq.com" TargetMode="External"/><Relationship Id="rId95" Type="http://schemas.openxmlformats.org/officeDocument/2006/relationships/hyperlink" Target="http://C003@qq.com" TargetMode="External"/><Relationship Id="rId160" Type="http://schemas.openxmlformats.org/officeDocument/2006/relationships/hyperlink" Target="http://C027@qq.com" TargetMode="External"/><Relationship Id="rId22" Type="http://schemas.openxmlformats.org/officeDocument/2006/relationships/hyperlink" Target="http://B040@qq.com" TargetMode="External"/><Relationship Id="rId43" Type="http://schemas.openxmlformats.org/officeDocument/2006/relationships/hyperlink" Target="http://B025@qq.com" TargetMode="External"/><Relationship Id="rId64" Type="http://schemas.openxmlformats.org/officeDocument/2006/relationships/hyperlink" Target="http://B015@qq.com" TargetMode="External"/><Relationship Id="rId118" Type="http://schemas.openxmlformats.org/officeDocument/2006/relationships/hyperlink" Target="http://B043@qq.com" TargetMode="External"/><Relationship Id="rId139" Type="http://schemas.openxmlformats.org/officeDocument/2006/relationships/hyperlink" Target="http://B020@qq.com" TargetMode="External"/><Relationship Id="rId85" Type="http://schemas.openxmlformats.org/officeDocument/2006/relationships/hyperlink" Target="http://A025@qq.com" TargetMode="External"/><Relationship Id="rId150" Type="http://schemas.openxmlformats.org/officeDocument/2006/relationships/hyperlink" Target="http://C022@qq.com" TargetMode="External"/><Relationship Id="rId12" Type="http://schemas.openxmlformats.org/officeDocument/2006/relationships/hyperlink" Target="http://A011@qq.com" TargetMode="External"/><Relationship Id="rId17" Type="http://schemas.openxmlformats.org/officeDocument/2006/relationships/hyperlink" Target="http://B004@qq.com" TargetMode="External"/><Relationship Id="rId33" Type="http://schemas.openxmlformats.org/officeDocument/2006/relationships/hyperlink" Target="http://C015@qq.com" TargetMode="External"/><Relationship Id="rId38" Type="http://schemas.openxmlformats.org/officeDocument/2006/relationships/hyperlink" Target="http://B006@qq.com" TargetMode="External"/><Relationship Id="rId59" Type="http://schemas.openxmlformats.org/officeDocument/2006/relationships/hyperlink" Target="http://D005@qq.com" TargetMode="External"/><Relationship Id="rId103" Type="http://schemas.openxmlformats.org/officeDocument/2006/relationships/hyperlink" Target="http://B031@qq.com" TargetMode="External"/><Relationship Id="rId108" Type="http://schemas.openxmlformats.org/officeDocument/2006/relationships/hyperlink" Target="http://B017@qq.com" TargetMode="External"/><Relationship Id="rId124" Type="http://schemas.openxmlformats.org/officeDocument/2006/relationships/hyperlink" Target="http://D013@qq.com" TargetMode="External"/><Relationship Id="rId129" Type="http://schemas.openxmlformats.org/officeDocument/2006/relationships/hyperlink" Target="http://A003@qq.com" TargetMode="External"/><Relationship Id="rId54" Type="http://schemas.openxmlformats.org/officeDocument/2006/relationships/hyperlink" Target="http://A028@qq.com" TargetMode="External"/><Relationship Id="rId70" Type="http://schemas.openxmlformats.org/officeDocument/2006/relationships/hyperlink" Target="http://D034@qq.com" TargetMode="External"/><Relationship Id="rId75" Type="http://schemas.openxmlformats.org/officeDocument/2006/relationships/hyperlink" Target="http://D031@qq.com" TargetMode="External"/><Relationship Id="rId91" Type="http://schemas.openxmlformats.org/officeDocument/2006/relationships/hyperlink" Target="http://C011@qq.com" TargetMode="External"/><Relationship Id="rId96" Type="http://schemas.openxmlformats.org/officeDocument/2006/relationships/hyperlink" Target="http://B010@qq.com" TargetMode="External"/><Relationship Id="rId140" Type="http://schemas.openxmlformats.org/officeDocument/2006/relationships/hyperlink" Target="http://B008@qq.com" TargetMode="External"/><Relationship Id="rId145" Type="http://schemas.openxmlformats.org/officeDocument/2006/relationships/hyperlink" Target="http://C042@qq.com" TargetMode="External"/><Relationship Id="rId161" Type="http://schemas.openxmlformats.org/officeDocument/2006/relationships/hyperlink" Target="http://A026@qq.com" TargetMode="External"/><Relationship Id="rId1" Type="http://schemas.openxmlformats.org/officeDocument/2006/relationships/hyperlink" Target="http://A043@qq.com" TargetMode="External"/><Relationship Id="rId6" Type="http://schemas.openxmlformats.org/officeDocument/2006/relationships/hyperlink" Target="http://A021@qq.com" TargetMode="External"/><Relationship Id="rId23" Type="http://schemas.openxmlformats.org/officeDocument/2006/relationships/hyperlink" Target="http://A020@qq.com" TargetMode="External"/><Relationship Id="rId28" Type="http://schemas.openxmlformats.org/officeDocument/2006/relationships/hyperlink" Target="http://A002@qq.com" TargetMode="External"/><Relationship Id="rId49" Type="http://schemas.openxmlformats.org/officeDocument/2006/relationships/hyperlink" Target="http://B029@qq.com" TargetMode="External"/><Relationship Id="rId114" Type="http://schemas.openxmlformats.org/officeDocument/2006/relationships/hyperlink" Target="http://C007@qq.com" TargetMode="External"/><Relationship Id="rId119" Type="http://schemas.openxmlformats.org/officeDocument/2006/relationships/hyperlink" Target="http://B037@qq.com" TargetMode="External"/><Relationship Id="rId44" Type="http://schemas.openxmlformats.org/officeDocument/2006/relationships/hyperlink" Target="http://C008@qq.com" TargetMode="External"/><Relationship Id="rId60" Type="http://schemas.openxmlformats.org/officeDocument/2006/relationships/hyperlink" Target="http://C031@qq.com" TargetMode="External"/><Relationship Id="rId65" Type="http://schemas.openxmlformats.org/officeDocument/2006/relationships/hyperlink" Target="http://B024@qq.com" TargetMode="External"/><Relationship Id="rId81" Type="http://schemas.openxmlformats.org/officeDocument/2006/relationships/hyperlink" Target="http://D016@qq.com" TargetMode="External"/><Relationship Id="rId86" Type="http://schemas.openxmlformats.org/officeDocument/2006/relationships/hyperlink" Target="http://B034@qq.com" TargetMode="External"/><Relationship Id="rId130" Type="http://schemas.openxmlformats.org/officeDocument/2006/relationships/hyperlink" Target="http://D021@qq.com" TargetMode="External"/><Relationship Id="rId135" Type="http://schemas.openxmlformats.org/officeDocument/2006/relationships/hyperlink" Target="http://D029@qq.com" TargetMode="External"/><Relationship Id="rId151" Type="http://schemas.openxmlformats.org/officeDocument/2006/relationships/hyperlink" Target="http://D033@qq.com" TargetMode="External"/><Relationship Id="rId156" Type="http://schemas.openxmlformats.org/officeDocument/2006/relationships/hyperlink" Target="http://D030@qq.com" TargetMode="External"/><Relationship Id="rId13" Type="http://schemas.openxmlformats.org/officeDocument/2006/relationships/hyperlink" Target="http://A038@qq.com" TargetMode="External"/><Relationship Id="rId18" Type="http://schemas.openxmlformats.org/officeDocument/2006/relationships/hyperlink" Target="http://A006@qq.com" TargetMode="External"/><Relationship Id="rId39" Type="http://schemas.openxmlformats.org/officeDocument/2006/relationships/hyperlink" Target="http://A032@qq.com" TargetMode="External"/><Relationship Id="rId109" Type="http://schemas.openxmlformats.org/officeDocument/2006/relationships/hyperlink" Target="http://C036@qq.com" TargetMode="External"/><Relationship Id="rId34" Type="http://schemas.openxmlformats.org/officeDocument/2006/relationships/hyperlink" Target="http://C019@qq.com" TargetMode="External"/><Relationship Id="rId50" Type="http://schemas.openxmlformats.org/officeDocument/2006/relationships/hyperlink" Target="http://C034@qq.com" TargetMode="External"/><Relationship Id="rId55" Type="http://schemas.openxmlformats.org/officeDocument/2006/relationships/hyperlink" Target="http://D012@qq.com" TargetMode="External"/><Relationship Id="rId76" Type="http://schemas.openxmlformats.org/officeDocument/2006/relationships/hyperlink" Target="http://A034@qq.com" TargetMode="External"/><Relationship Id="rId97" Type="http://schemas.openxmlformats.org/officeDocument/2006/relationships/hyperlink" Target="http://C001@qq.com" TargetMode="External"/><Relationship Id="rId104" Type="http://schemas.openxmlformats.org/officeDocument/2006/relationships/hyperlink" Target="http://C010@qq.com" TargetMode="External"/><Relationship Id="rId120" Type="http://schemas.openxmlformats.org/officeDocument/2006/relationships/hyperlink" Target="http://C029@qq.com" TargetMode="External"/><Relationship Id="rId125" Type="http://schemas.openxmlformats.org/officeDocument/2006/relationships/hyperlink" Target="http://D045@qq.com" TargetMode="External"/><Relationship Id="rId141" Type="http://schemas.openxmlformats.org/officeDocument/2006/relationships/hyperlink" Target="http://B036@qq.com" TargetMode="External"/><Relationship Id="rId146" Type="http://schemas.openxmlformats.org/officeDocument/2006/relationships/hyperlink" Target="http://D014@qq.com" TargetMode="External"/><Relationship Id="rId7" Type="http://schemas.openxmlformats.org/officeDocument/2006/relationships/hyperlink" Target="http://C041@qq.com" TargetMode="External"/><Relationship Id="rId71" Type="http://schemas.openxmlformats.org/officeDocument/2006/relationships/hyperlink" Target="http://D010@qq.com" TargetMode="External"/><Relationship Id="rId92" Type="http://schemas.openxmlformats.org/officeDocument/2006/relationships/hyperlink" Target="http://C017@qq.com" TargetMode="External"/><Relationship Id="rId162" Type="http://schemas.openxmlformats.org/officeDocument/2006/relationships/hyperlink" Target="http://D042@qq.com" TargetMode="External"/><Relationship Id="rId2" Type="http://schemas.openxmlformats.org/officeDocument/2006/relationships/hyperlink" Target="http://A023@qq.com" TargetMode="External"/><Relationship Id="rId29" Type="http://schemas.openxmlformats.org/officeDocument/2006/relationships/hyperlink" Target="http://A022@qq.com" TargetMode="External"/><Relationship Id="rId24" Type="http://schemas.openxmlformats.org/officeDocument/2006/relationships/hyperlink" Target="http://A009@qq.com" TargetMode="External"/><Relationship Id="rId40" Type="http://schemas.openxmlformats.org/officeDocument/2006/relationships/hyperlink" Target="http://B019@qq.com" TargetMode="External"/><Relationship Id="rId45" Type="http://schemas.openxmlformats.org/officeDocument/2006/relationships/hyperlink" Target="http://A005@qq.com" TargetMode="External"/><Relationship Id="rId66" Type="http://schemas.openxmlformats.org/officeDocument/2006/relationships/hyperlink" Target="http://A015@qq.com" TargetMode="External"/><Relationship Id="rId87" Type="http://schemas.openxmlformats.org/officeDocument/2006/relationships/hyperlink" Target="http://C006@qq.com" TargetMode="External"/><Relationship Id="rId110" Type="http://schemas.openxmlformats.org/officeDocument/2006/relationships/hyperlink" Target="http://B007@qq.com" TargetMode="External"/><Relationship Id="rId115" Type="http://schemas.openxmlformats.org/officeDocument/2006/relationships/hyperlink" Target="http://C021@qq.com" TargetMode="External"/><Relationship Id="rId131" Type="http://schemas.openxmlformats.org/officeDocument/2006/relationships/hyperlink" Target="http://D020@qq.com" TargetMode="External"/><Relationship Id="rId136" Type="http://schemas.openxmlformats.org/officeDocument/2006/relationships/hyperlink" Target="http://C023@qq.com" TargetMode="External"/><Relationship Id="rId157" Type="http://schemas.openxmlformats.org/officeDocument/2006/relationships/hyperlink" Target="http://D002@qq.com" TargetMode="External"/><Relationship Id="rId61" Type="http://schemas.openxmlformats.org/officeDocument/2006/relationships/hyperlink" Target="http://C026@qq.com" TargetMode="External"/><Relationship Id="rId82" Type="http://schemas.openxmlformats.org/officeDocument/2006/relationships/hyperlink" Target="http://D011@qq.com" TargetMode="External"/><Relationship Id="rId152" Type="http://schemas.openxmlformats.org/officeDocument/2006/relationships/hyperlink" Target="http://D027@qq.com" TargetMode="External"/><Relationship Id="rId19" Type="http://schemas.openxmlformats.org/officeDocument/2006/relationships/hyperlink" Target="http://A008@qq.com" TargetMode="External"/><Relationship Id="rId14" Type="http://schemas.openxmlformats.org/officeDocument/2006/relationships/hyperlink" Target="http://A036@qq.com" TargetMode="External"/><Relationship Id="rId30" Type="http://schemas.openxmlformats.org/officeDocument/2006/relationships/hyperlink" Target="http://C004@qq.com" TargetMode="External"/><Relationship Id="rId35" Type="http://schemas.openxmlformats.org/officeDocument/2006/relationships/hyperlink" Target="http://B018@qq.com" TargetMode="External"/><Relationship Id="rId56" Type="http://schemas.openxmlformats.org/officeDocument/2006/relationships/hyperlink" Target="http://A016@qq.com" TargetMode="External"/><Relationship Id="rId77" Type="http://schemas.openxmlformats.org/officeDocument/2006/relationships/hyperlink" Target="http://D032@qq.com" TargetMode="External"/><Relationship Id="rId100" Type="http://schemas.openxmlformats.org/officeDocument/2006/relationships/hyperlink" Target="http://D007@qq.com" TargetMode="External"/><Relationship Id="rId105" Type="http://schemas.openxmlformats.org/officeDocument/2006/relationships/hyperlink" Target="http://D008@qq.com" TargetMode="External"/><Relationship Id="rId126" Type="http://schemas.openxmlformats.org/officeDocument/2006/relationships/hyperlink" Target="http://C035@qq.com" TargetMode="External"/><Relationship Id="rId147" Type="http://schemas.openxmlformats.org/officeDocument/2006/relationships/hyperlink" Target="http://D001@qq.com" TargetMode="External"/><Relationship Id="rId8" Type="http://schemas.openxmlformats.org/officeDocument/2006/relationships/hyperlink" Target="http://A024@qq.com" TargetMode="External"/><Relationship Id="rId51" Type="http://schemas.openxmlformats.org/officeDocument/2006/relationships/hyperlink" Target="http://C028@qq.com" TargetMode="External"/><Relationship Id="rId72" Type="http://schemas.openxmlformats.org/officeDocument/2006/relationships/hyperlink" Target="http://D039@qq.com" TargetMode="External"/><Relationship Id="rId93" Type="http://schemas.openxmlformats.org/officeDocument/2006/relationships/hyperlink" Target="http://C002@qq.com" TargetMode="External"/><Relationship Id="rId98" Type="http://schemas.openxmlformats.org/officeDocument/2006/relationships/hyperlink" Target="http://C038@qq.com" TargetMode="External"/><Relationship Id="rId121" Type="http://schemas.openxmlformats.org/officeDocument/2006/relationships/hyperlink" Target="http://D044@qq.com" TargetMode="External"/><Relationship Id="rId142" Type="http://schemas.openxmlformats.org/officeDocument/2006/relationships/hyperlink" Target="http://B009@qq.com" TargetMode="External"/><Relationship Id="rId163" Type="http://schemas.openxmlformats.org/officeDocument/2006/relationships/hyperlink" Target="http://A035@qq.com" TargetMode="External"/><Relationship Id="rId3" Type="http://schemas.openxmlformats.org/officeDocument/2006/relationships/hyperlink" Target="http://A014@qq.com" TargetMode="External"/><Relationship Id="rId25" Type="http://schemas.openxmlformats.org/officeDocument/2006/relationships/hyperlink" Target="http://B027@qq.com" TargetMode="External"/><Relationship Id="rId46" Type="http://schemas.openxmlformats.org/officeDocument/2006/relationships/hyperlink" Target="http://B028@qq.com" TargetMode="External"/><Relationship Id="rId67" Type="http://schemas.openxmlformats.org/officeDocument/2006/relationships/hyperlink" Target="http://D041@qq.com" TargetMode="External"/><Relationship Id="rId116" Type="http://schemas.openxmlformats.org/officeDocument/2006/relationships/hyperlink" Target="http://B003@qq.com" TargetMode="External"/><Relationship Id="rId137" Type="http://schemas.openxmlformats.org/officeDocument/2006/relationships/hyperlink" Target="http://D006@qq.com" TargetMode="External"/><Relationship Id="rId158" Type="http://schemas.openxmlformats.org/officeDocument/2006/relationships/hyperlink" Target="http://D046@qq.com" TargetMode="External"/><Relationship Id="rId20" Type="http://schemas.openxmlformats.org/officeDocument/2006/relationships/hyperlink" Target="http://A012@qq.com" TargetMode="External"/><Relationship Id="rId41" Type="http://schemas.openxmlformats.org/officeDocument/2006/relationships/hyperlink" Target="http://B030@qq.com" TargetMode="External"/><Relationship Id="rId62" Type="http://schemas.openxmlformats.org/officeDocument/2006/relationships/hyperlink" Target="http://D004@qq.com" TargetMode="External"/><Relationship Id="rId83" Type="http://schemas.openxmlformats.org/officeDocument/2006/relationships/hyperlink" Target="http://D018@qq.com" TargetMode="External"/><Relationship Id="rId88" Type="http://schemas.openxmlformats.org/officeDocument/2006/relationships/hyperlink" Target="http://A033@qq.com" TargetMode="External"/><Relationship Id="rId111" Type="http://schemas.openxmlformats.org/officeDocument/2006/relationships/hyperlink" Target="http://A040@qq.com" TargetMode="External"/><Relationship Id="rId132" Type="http://schemas.openxmlformats.org/officeDocument/2006/relationships/hyperlink" Target="http://D036@qq.com" TargetMode="External"/><Relationship Id="rId153" Type="http://schemas.openxmlformats.org/officeDocument/2006/relationships/hyperlink" Target="http://D037@qq.com" TargetMode="External"/><Relationship Id="rId15" Type="http://schemas.openxmlformats.org/officeDocument/2006/relationships/hyperlink" Target="http://A001@qq.com" TargetMode="External"/><Relationship Id="rId36" Type="http://schemas.openxmlformats.org/officeDocument/2006/relationships/hyperlink" Target="http://B026@qq.com" TargetMode="External"/><Relationship Id="rId57" Type="http://schemas.openxmlformats.org/officeDocument/2006/relationships/hyperlink" Target="http://A031@qq.com" TargetMode="External"/><Relationship Id="rId106" Type="http://schemas.openxmlformats.org/officeDocument/2006/relationships/hyperlink" Target="http://B022@qq.com" TargetMode="External"/><Relationship Id="rId127" Type="http://schemas.openxmlformats.org/officeDocument/2006/relationships/hyperlink" Target="http://D035@qq.com" TargetMode="External"/><Relationship Id="rId10" Type="http://schemas.openxmlformats.org/officeDocument/2006/relationships/hyperlink" Target="http://A010@qq.com" TargetMode="External"/><Relationship Id="rId31" Type="http://schemas.openxmlformats.org/officeDocument/2006/relationships/hyperlink" Target="http://B002@qq.com" TargetMode="External"/><Relationship Id="rId52" Type="http://schemas.openxmlformats.org/officeDocument/2006/relationships/hyperlink" Target="http://B039@qq.com" TargetMode="External"/><Relationship Id="rId73" Type="http://schemas.openxmlformats.org/officeDocument/2006/relationships/hyperlink" Target="http://C018@qq.com" TargetMode="External"/><Relationship Id="rId78" Type="http://schemas.openxmlformats.org/officeDocument/2006/relationships/hyperlink" Target="http://A007@qq.com" TargetMode="External"/><Relationship Id="rId94" Type="http://schemas.openxmlformats.org/officeDocument/2006/relationships/hyperlink" Target="http://C040@qq.com" TargetMode="External"/><Relationship Id="rId99" Type="http://schemas.openxmlformats.org/officeDocument/2006/relationships/hyperlink" Target="http://A041@qq.com" TargetMode="External"/><Relationship Id="rId101" Type="http://schemas.openxmlformats.org/officeDocument/2006/relationships/hyperlink" Target="http://D026@qq.com" TargetMode="External"/><Relationship Id="rId122" Type="http://schemas.openxmlformats.org/officeDocument/2006/relationships/hyperlink" Target="http://B016@qq.com" TargetMode="External"/><Relationship Id="rId143" Type="http://schemas.openxmlformats.org/officeDocument/2006/relationships/hyperlink" Target="http://B041@qq.com" TargetMode="External"/><Relationship Id="rId148" Type="http://schemas.openxmlformats.org/officeDocument/2006/relationships/hyperlink" Target="http://C024@qq.com" TargetMode="External"/><Relationship Id="rId164" Type="http://schemas.openxmlformats.org/officeDocument/2006/relationships/hyperlink" Target="http://valor@qq.com" TargetMode="External"/><Relationship Id="rId4" Type="http://schemas.openxmlformats.org/officeDocument/2006/relationships/hyperlink" Target="http://B001@qq.com" TargetMode="External"/><Relationship Id="rId9" Type="http://schemas.openxmlformats.org/officeDocument/2006/relationships/hyperlink" Target="http://B033@qq.com" TargetMode="External"/><Relationship Id="rId26" Type="http://schemas.openxmlformats.org/officeDocument/2006/relationships/hyperlink" Target="http://B021@qq.com" TargetMode="External"/><Relationship Id="rId47" Type="http://schemas.openxmlformats.org/officeDocument/2006/relationships/hyperlink" Target="http://B013@qq.com" TargetMode="External"/><Relationship Id="rId68" Type="http://schemas.openxmlformats.org/officeDocument/2006/relationships/hyperlink" Target="http://C025@qq.com" TargetMode="External"/><Relationship Id="rId89" Type="http://schemas.openxmlformats.org/officeDocument/2006/relationships/hyperlink" Target="http://B032@qq.com" TargetMode="External"/><Relationship Id="rId112" Type="http://schemas.openxmlformats.org/officeDocument/2006/relationships/hyperlink" Target="http://D022@qq.com" TargetMode="External"/><Relationship Id="rId133" Type="http://schemas.openxmlformats.org/officeDocument/2006/relationships/hyperlink" Target="http://B023@qq.com" TargetMode="External"/><Relationship Id="rId154" Type="http://schemas.openxmlformats.org/officeDocument/2006/relationships/hyperlink" Target="http://D028@qq.com" TargetMode="External"/><Relationship Id="rId16" Type="http://schemas.openxmlformats.org/officeDocument/2006/relationships/hyperlink" Target="http://A004@qq.com" TargetMode="External"/><Relationship Id="rId37" Type="http://schemas.openxmlformats.org/officeDocument/2006/relationships/hyperlink" Target="http://B038@qq.com" TargetMode="External"/><Relationship Id="rId58" Type="http://schemas.openxmlformats.org/officeDocument/2006/relationships/hyperlink" Target="http://B005@qq.com" TargetMode="External"/><Relationship Id="rId79" Type="http://schemas.openxmlformats.org/officeDocument/2006/relationships/hyperlink" Target="http://D003@qq.com" TargetMode="External"/><Relationship Id="rId102" Type="http://schemas.openxmlformats.org/officeDocument/2006/relationships/hyperlink" Target="http://C033@qq.com" TargetMode="External"/><Relationship Id="rId123" Type="http://schemas.openxmlformats.org/officeDocument/2006/relationships/hyperlink" Target="http://D015@qq.com" TargetMode="External"/><Relationship Id="rId144" Type="http://schemas.openxmlformats.org/officeDocument/2006/relationships/hyperlink" Target="http://C009@qq.com" TargetMode="External"/><Relationship Id="rId90" Type="http://schemas.openxmlformats.org/officeDocument/2006/relationships/hyperlink" Target="http://C013@qq.com" TargetMode="External"/><Relationship Id="rId27" Type="http://schemas.openxmlformats.org/officeDocument/2006/relationships/hyperlink" Target="http://D019@qq.com" TargetMode="External"/><Relationship Id="rId48" Type="http://schemas.openxmlformats.org/officeDocument/2006/relationships/hyperlink" Target="http://B011@qq.com" TargetMode="External"/><Relationship Id="rId69" Type="http://schemas.openxmlformats.org/officeDocument/2006/relationships/hyperlink" Target="http://B042@qq.com" TargetMode="External"/><Relationship Id="rId113" Type="http://schemas.openxmlformats.org/officeDocument/2006/relationships/hyperlink" Target="http://A030@qq.com" TargetMode="External"/><Relationship Id="rId134" Type="http://schemas.openxmlformats.org/officeDocument/2006/relationships/hyperlink" Target="http://D038@qq.com" TargetMode="External"/><Relationship Id="rId80" Type="http://schemas.openxmlformats.org/officeDocument/2006/relationships/hyperlink" Target="http://C039@qq.com" TargetMode="External"/><Relationship Id="rId155" Type="http://schemas.openxmlformats.org/officeDocument/2006/relationships/hyperlink" Target="http://D024@qq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B024@qq.com" TargetMode="External"/><Relationship Id="rId21" Type="http://schemas.openxmlformats.org/officeDocument/2006/relationships/hyperlink" Target="http://A002@qq.com" TargetMode="External"/><Relationship Id="rId42" Type="http://schemas.openxmlformats.org/officeDocument/2006/relationships/hyperlink" Target="http://A043@qq.com" TargetMode="External"/><Relationship Id="rId63" Type="http://schemas.openxmlformats.org/officeDocument/2006/relationships/hyperlink" Target="http://C013@qq.com" TargetMode="External"/><Relationship Id="rId84" Type="http://schemas.openxmlformats.org/officeDocument/2006/relationships/hyperlink" Target="http://B009@qq.com" TargetMode="External"/><Relationship Id="rId138" Type="http://schemas.openxmlformats.org/officeDocument/2006/relationships/hyperlink" Target="http://C005@qq.com" TargetMode="External"/><Relationship Id="rId159" Type="http://schemas.openxmlformats.org/officeDocument/2006/relationships/hyperlink" Target="http://B013@qq.com" TargetMode="External"/><Relationship Id="rId107" Type="http://schemas.openxmlformats.org/officeDocument/2006/relationships/hyperlink" Target="http://D018@qq.com" TargetMode="External"/><Relationship Id="rId11" Type="http://schemas.openxmlformats.org/officeDocument/2006/relationships/hyperlink" Target="http://B005@qq.com" TargetMode="External"/><Relationship Id="rId32" Type="http://schemas.openxmlformats.org/officeDocument/2006/relationships/hyperlink" Target="http://A025@qq.com" TargetMode="External"/><Relationship Id="rId53" Type="http://schemas.openxmlformats.org/officeDocument/2006/relationships/hyperlink" Target="http://D039@qq.com" TargetMode="External"/><Relationship Id="rId74" Type="http://schemas.openxmlformats.org/officeDocument/2006/relationships/hyperlink" Target="http://A034@qq.com" TargetMode="External"/><Relationship Id="rId128" Type="http://schemas.openxmlformats.org/officeDocument/2006/relationships/hyperlink" Target="http://B043@qq.com" TargetMode="External"/><Relationship Id="rId149" Type="http://schemas.openxmlformats.org/officeDocument/2006/relationships/hyperlink" Target="http://D035@qq.com" TargetMode="External"/><Relationship Id="rId5" Type="http://schemas.openxmlformats.org/officeDocument/2006/relationships/hyperlink" Target="http://A001@qq.com" TargetMode="External"/><Relationship Id="rId95" Type="http://schemas.openxmlformats.org/officeDocument/2006/relationships/hyperlink" Target="http://C001@qq.com" TargetMode="External"/><Relationship Id="rId160" Type="http://schemas.openxmlformats.org/officeDocument/2006/relationships/hyperlink" Target="http://D042@qq.com" TargetMode="External"/><Relationship Id="rId22" Type="http://schemas.openxmlformats.org/officeDocument/2006/relationships/hyperlink" Target="http://A024@qq.com" TargetMode="External"/><Relationship Id="rId43" Type="http://schemas.openxmlformats.org/officeDocument/2006/relationships/hyperlink" Target="http://D040@qq.com" TargetMode="External"/><Relationship Id="rId64" Type="http://schemas.openxmlformats.org/officeDocument/2006/relationships/hyperlink" Target="http://A036@qq.com" TargetMode="External"/><Relationship Id="rId118" Type="http://schemas.openxmlformats.org/officeDocument/2006/relationships/hyperlink" Target="http://C032@qq.com" TargetMode="External"/><Relationship Id="rId139" Type="http://schemas.openxmlformats.org/officeDocument/2006/relationships/hyperlink" Target="http://D013@qq.com" TargetMode="External"/><Relationship Id="rId80" Type="http://schemas.openxmlformats.org/officeDocument/2006/relationships/hyperlink" Target="http://C033@qq.com" TargetMode="External"/><Relationship Id="rId85" Type="http://schemas.openxmlformats.org/officeDocument/2006/relationships/hyperlink" Target="http://C008@qq.com" TargetMode="External"/><Relationship Id="rId150" Type="http://schemas.openxmlformats.org/officeDocument/2006/relationships/hyperlink" Target="http://D028@qq.com" TargetMode="External"/><Relationship Id="rId155" Type="http://schemas.openxmlformats.org/officeDocument/2006/relationships/hyperlink" Target="http://C021@qq.com" TargetMode="External"/><Relationship Id="rId12" Type="http://schemas.openxmlformats.org/officeDocument/2006/relationships/hyperlink" Target="http://D034@qq.com" TargetMode="External"/><Relationship Id="rId17" Type="http://schemas.openxmlformats.org/officeDocument/2006/relationships/hyperlink" Target="http://A022@qq.com" TargetMode="External"/><Relationship Id="rId33" Type="http://schemas.openxmlformats.org/officeDocument/2006/relationships/hyperlink" Target="http://B008@qq.com" TargetMode="External"/><Relationship Id="rId38" Type="http://schemas.openxmlformats.org/officeDocument/2006/relationships/hyperlink" Target="http://C030@qq.com" TargetMode="External"/><Relationship Id="rId59" Type="http://schemas.openxmlformats.org/officeDocument/2006/relationships/hyperlink" Target="http://B016@qq.com" TargetMode="External"/><Relationship Id="rId103" Type="http://schemas.openxmlformats.org/officeDocument/2006/relationships/hyperlink" Target="http://C002@qq.com" TargetMode="External"/><Relationship Id="rId108" Type="http://schemas.openxmlformats.org/officeDocument/2006/relationships/hyperlink" Target="http://D038@qq.com" TargetMode="External"/><Relationship Id="rId124" Type="http://schemas.openxmlformats.org/officeDocument/2006/relationships/hyperlink" Target="http://D015@qq.com" TargetMode="External"/><Relationship Id="rId129" Type="http://schemas.openxmlformats.org/officeDocument/2006/relationships/hyperlink" Target="http://D014@qq.com" TargetMode="External"/><Relationship Id="rId54" Type="http://schemas.openxmlformats.org/officeDocument/2006/relationships/hyperlink" Target="http://A033@qq.com" TargetMode="External"/><Relationship Id="rId70" Type="http://schemas.openxmlformats.org/officeDocument/2006/relationships/hyperlink" Target="http://C006@qq.com" TargetMode="External"/><Relationship Id="rId75" Type="http://schemas.openxmlformats.org/officeDocument/2006/relationships/hyperlink" Target="http://B041@qq.com" TargetMode="External"/><Relationship Id="rId91" Type="http://schemas.openxmlformats.org/officeDocument/2006/relationships/hyperlink" Target="http://D007@qq.com" TargetMode="External"/><Relationship Id="rId96" Type="http://schemas.openxmlformats.org/officeDocument/2006/relationships/hyperlink" Target="http://C026@qq.com" TargetMode="External"/><Relationship Id="rId140" Type="http://schemas.openxmlformats.org/officeDocument/2006/relationships/hyperlink" Target="http://D037@qq.com" TargetMode="External"/><Relationship Id="rId145" Type="http://schemas.openxmlformats.org/officeDocument/2006/relationships/hyperlink" Target="http://D002@qq.com" TargetMode="External"/><Relationship Id="rId1" Type="http://schemas.openxmlformats.org/officeDocument/2006/relationships/hyperlink" Target="http://A014@qq.com" TargetMode="External"/><Relationship Id="rId6" Type="http://schemas.openxmlformats.org/officeDocument/2006/relationships/hyperlink" Target="http://A010@qq.com" TargetMode="External"/><Relationship Id="rId23" Type="http://schemas.openxmlformats.org/officeDocument/2006/relationships/hyperlink" Target="http://A023@qq.com" TargetMode="External"/><Relationship Id="rId28" Type="http://schemas.openxmlformats.org/officeDocument/2006/relationships/hyperlink" Target="http://C011@qq.com" TargetMode="External"/><Relationship Id="rId49" Type="http://schemas.openxmlformats.org/officeDocument/2006/relationships/hyperlink" Target="http://C039@qq.com" TargetMode="External"/><Relationship Id="rId114" Type="http://schemas.openxmlformats.org/officeDocument/2006/relationships/hyperlink" Target="http://C020@qq.com" TargetMode="External"/><Relationship Id="rId119" Type="http://schemas.openxmlformats.org/officeDocument/2006/relationships/hyperlink" Target="http://C010@qq.com" TargetMode="External"/><Relationship Id="rId44" Type="http://schemas.openxmlformats.org/officeDocument/2006/relationships/hyperlink" Target="http://A041@qq.com" TargetMode="External"/><Relationship Id="rId60" Type="http://schemas.openxmlformats.org/officeDocument/2006/relationships/hyperlink" Target="http://B038@qq.com" TargetMode="External"/><Relationship Id="rId65" Type="http://schemas.openxmlformats.org/officeDocument/2006/relationships/hyperlink" Target="http://B022@qq.com" TargetMode="External"/><Relationship Id="rId81" Type="http://schemas.openxmlformats.org/officeDocument/2006/relationships/hyperlink" Target="http://B006@qq.com" TargetMode="External"/><Relationship Id="rId86" Type="http://schemas.openxmlformats.org/officeDocument/2006/relationships/hyperlink" Target="http://C007@qq.com" TargetMode="External"/><Relationship Id="rId130" Type="http://schemas.openxmlformats.org/officeDocument/2006/relationships/hyperlink" Target="http://C036@qq.com" TargetMode="External"/><Relationship Id="rId135" Type="http://schemas.openxmlformats.org/officeDocument/2006/relationships/hyperlink" Target="http://C029@qq.com" TargetMode="External"/><Relationship Id="rId151" Type="http://schemas.openxmlformats.org/officeDocument/2006/relationships/hyperlink" Target="http://D003@qq.com" TargetMode="External"/><Relationship Id="rId156" Type="http://schemas.openxmlformats.org/officeDocument/2006/relationships/hyperlink" Target="http://C035@qq.com" TargetMode="External"/><Relationship Id="rId13" Type="http://schemas.openxmlformats.org/officeDocument/2006/relationships/hyperlink" Target="http://D041@qq.com" TargetMode="External"/><Relationship Id="rId18" Type="http://schemas.openxmlformats.org/officeDocument/2006/relationships/hyperlink" Target="http://A032@qq.com" TargetMode="External"/><Relationship Id="rId39" Type="http://schemas.openxmlformats.org/officeDocument/2006/relationships/hyperlink" Target="http://A008@qq.com" TargetMode="External"/><Relationship Id="rId109" Type="http://schemas.openxmlformats.org/officeDocument/2006/relationships/hyperlink" Target="http://A003@qq.com" TargetMode="External"/><Relationship Id="rId34" Type="http://schemas.openxmlformats.org/officeDocument/2006/relationships/hyperlink" Target="http://A038@qq.com" TargetMode="External"/><Relationship Id="rId50" Type="http://schemas.openxmlformats.org/officeDocument/2006/relationships/hyperlink" Target="http://B001@qq.com" TargetMode="External"/><Relationship Id="rId55" Type="http://schemas.openxmlformats.org/officeDocument/2006/relationships/hyperlink" Target="http://A030@qq.com" TargetMode="External"/><Relationship Id="rId76" Type="http://schemas.openxmlformats.org/officeDocument/2006/relationships/hyperlink" Target="http://D025@qq.com" TargetMode="External"/><Relationship Id="rId97" Type="http://schemas.openxmlformats.org/officeDocument/2006/relationships/hyperlink" Target="http://C025@qq.com" TargetMode="External"/><Relationship Id="rId104" Type="http://schemas.openxmlformats.org/officeDocument/2006/relationships/hyperlink" Target="http://A042@qq.com" TargetMode="External"/><Relationship Id="rId120" Type="http://schemas.openxmlformats.org/officeDocument/2006/relationships/hyperlink" Target="http://C042@qq.com" TargetMode="External"/><Relationship Id="rId125" Type="http://schemas.openxmlformats.org/officeDocument/2006/relationships/hyperlink" Target="http://B042@qq.com" TargetMode="External"/><Relationship Id="rId141" Type="http://schemas.openxmlformats.org/officeDocument/2006/relationships/hyperlink" Target="http://D027@qq.com" TargetMode="External"/><Relationship Id="rId146" Type="http://schemas.openxmlformats.org/officeDocument/2006/relationships/hyperlink" Target="http://D020@qq.com" TargetMode="External"/><Relationship Id="rId7" Type="http://schemas.openxmlformats.org/officeDocument/2006/relationships/hyperlink" Target="http://A005@qq.com" TargetMode="External"/><Relationship Id="rId71" Type="http://schemas.openxmlformats.org/officeDocument/2006/relationships/hyperlink" Target="http://D026@qq.com" TargetMode="External"/><Relationship Id="rId92" Type="http://schemas.openxmlformats.org/officeDocument/2006/relationships/hyperlink" Target="http://A037@qq.com" TargetMode="External"/><Relationship Id="rId2" Type="http://schemas.openxmlformats.org/officeDocument/2006/relationships/hyperlink" Target="http://A016@qq.com" TargetMode="External"/><Relationship Id="rId29" Type="http://schemas.openxmlformats.org/officeDocument/2006/relationships/hyperlink" Target="http://C028@qq.com" TargetMode="External"/><Relationship Id="rId24" Type="http://schemas.openxmlformats.org/officeDocument/2006/relationships/hyperlink" Target="http://B007@qq.com" TargetMode="External"/><Relationship Id="rId40" Type="http://schemas.openxmlformats.org/officeDocument/2006/relationships/hyperlink" Target="http://A013@qq.com" TargetMode="External"/><Relationship Id="rId45" Type="http://schemas.openxmlformats.org/officeDocument/2006/relationships/hyperlink" Target="http://D004@qq.com" TargetMode="External"/><Relationship Id="rId66" Type="http://schemas.openxmlformats.org/officeDocument/2006/relationships/hyperlink" Target="http://B003@qq.com" TargetMode="External"/><Relationship Id="rId87" Type="http://schemas.openxmlformats.org/officeDocument/2006/relationships/hyperlink" Target="http://B036@qq.com" TargetMode="External"/><Relationship Id="rId110" Type="http://schemas.openxmlformats.org/officeDocument/2006/relationships/hyperlink" Target="http://C031@qq.com" TargetMode="External"/><Relationship Id="rId115" Type="http://schemas.openxmlformats.org/officeDocument/2006/relationships/hyperlink" Target="http://C034@qq.com" TargetMode="External"/><Relationship Id="rId131" Type="http://schemas.openxmlformats.org/officeDocument/2006/relationships/hyperlink" Target="http://D029@qq.com" TargetMode="External"/><Relationship Id="rId136" Type="http://schemas.openxmlformats.org/officeDocument/2006/relationships/hyperlink" Target="http://B030@qq.com" TargetMode="External"/><Relationship Id="rId157" Type="http://schemas.openxmlformats.org/officeDocument/2006/relationships/hyperlink" Target="http://D046@qq.com" TargetMode="External"/><Relationship Id="rId61" Type="http://schemas.openxmlformats.org/officeDocument/2006/relationships/hyperlink" Target="http://B010@qq.com" TargetMode="External"/><Relationship Id="rId82" Type="http://schemas.openxmlformats.org/officeDocument/2006/relationships/hyperlink" Target="http://D005@qq.com" TargetMode="External"/><Relationship Id="rId152" Type="http://schemas.openxmlformats.org/officeDocument/2006/relationships/hyperlink" Target="http://D006@qq.com" TargetMode="External"/><Relationship Id="rId19" Type="http://schemas.openxmlformats.org/officeDocument/2006/relationships/hyperlink" Target="http://B002@qq.com" TargetMode="External"/><Relationship Id="rId14" Type="http://schemas.openxmlformats.org/officeDocument/2006/relationships/hyperlink" Target="http://B019@qq.com" TargetMode="External"/><Relationship Id="rId30" Type="http://schemas.openxmlformats.org/officeDocument/2006/relationships/hyperlink" Target="http://A020@qq.com" TargetMode="External"/><Relationship Id="rId35" Type="http://schemas.openxmlformats.org/officeDocument/2006/relationships/hyperlink" Target="http://A006@qq.com" TargetMode="External"/><Relationship Id="rId56" Type="http://schemas.openxmlformats.org/officeDocument/2006/relationships/hyperlink" Target="http://C015@qq.com" TargetMode="External"/><Relationship Id="rId77" Type="http://schemas.openxmlformats.org/officeDocument/2006/relationships/hyperlink" Target="http://A029@qq.com" TargetMode="External"/><Relationship Id="rId100" Type="http://schemas.openxmlformats.org/officeDocument/2006/relationships/hyperlink" Target="http://C022@qq.com" TargetMode="External"/><Relationship Id="rId105" Type="http://schemas.openxmlformats.org/officeDocument/2006/relationships/hyperlink" Target="http://A018@qq.com" TargetMode="External"/><Relationship Id="rId126" Type="http://schemas.openxmlformats.org/officeDocument/2006/relationships/hyperlink" Target="http://D022@qq.com" TargetMode="External"/><Relationship Id="rId147" Type="http://schemas.openxmlformats.org/officeDocument/2006/relationships/hyperlink" Target="http://A040@qq.com" TargetMode="External"/><Relationship Id="rId8" Type="http://schemas.openxmlformats.org/officeDocument/2006/relationships/hyperlink" Target="http://A007@qq.com" TargetMode="External"/><Relationship Id="rId51" Type="http://schemas.openxmlformats.org/officeDocument/2006/relationships/hyperlink" Target="http://C041@qq.com" TargetMode="External"/><Relationship Id="rId72" Type="http://schemas.openxmlformats.org/officeDocument/2006/relationships/hyperlink" Target="http://D009@qq.com" TargetMode="External"/><Relationship Id="rId93" Type="http://schemas.openxmlformats.org/officeDocument/2006/relationships/hyperlink" Target="http://D030@qq.com" TargetMode="External"/><Relationship Id="rId98" Type="http://schemas.openxmlformats.org/officeDocument/2006/relationships/hyperlink" Target="http://B021@qq.com" TargetMode="External"/><Relationship Id="rId121" Type="http://schemas.openxmlformats.org/officeDocument/2006/relationships/hyperlink" Target="http://D033@qq.com" TargetMode="External"/><Relationship Id="rId142" Type="http://schemas.openxmlformats.org/officeDocument/2006/relationships/hyperlink" Target="http://D024@qq.com" TargetMode="External"/><Relationship Id="rId3" Type="http://schemas.openxmlformats.org/officeDocument/2006/relationships/hyperlink" Target="http://A015@qq.com" TargetMode="External"/><Relationship Id="rId25" Type="http://schemas.openxmlformats.org/officeDocument/2006/relationships/hyperlink" Target="http://B031@qq.com" TargetMode="External"/><Relationship Id="rId46" Type="http://schemas.openxmlformats.org/officeDocument/2006/relationships/hyperlink" Target="http://B028@qq.com" TargetMode="External"/><Relationship Id="rId67" Type="http://schemas.openxmlformats.org/officeDocument/2006/relationships/hyperlink" Target="http://A012@qq.com" TargetMode="External"/><Relationship Id="rId116" Type="http://schemas.openxmlformats.org/officeDocument/2006/relationships/hyperlink" Target="http://B034@qq.com" TargetMode="External"/><Relationship Id="rId137" Type="http://schemas.openxmlformats.org/officeDocument/2006/relationships/hyperlink" Target="http://C023@qq.com" TargetMode="External"/><Relationship Id="rId158" Type="http://schemas.openxmlformats.org/officeDocument/2006/relationships/hyperlink" Target="http://D021@qq.com" TargetMode="External"/><Relationship Id="rId20" Type="http://schemas.openxmlformats.org/officeDocument/2006/relationships/hyperlink" Target="http://B026@qq.com" TargetMode="External"/><Relationship Id="rId41" Type="http://schemas.openxmlformats.org/officeDocument/2006/relationships/hyperlink" Target="http://B037@qq.com" TargetMode="External"/><Relationship Id="rId62" Type="http://schemas.openxmlformats.org/officeDocument/2006/relationships/hyperlink" Target="http://D032@qq.com" TargetMode="External"/><Relationship Id="rId83" Type="http://schemas.openxmlformats.org/officeDocument/2006/relationships/hyperlink" Target="http://A017@qq.com" TargetMode="External"/><Relationship Id="rId88" Type="http://schemas.openxmlformats.org/officeDocument/2006/relationships/hyperlink" Target="http://D012@qq.com" TargetMode="External"/><Relationship Id="rId111" Type="http://schemas.openxmlformats.org/officeDocument/2006/relationships/hyperlink" Target="http://C038@qq.com" TargetMode="External"/><Relationship Id="rId132" Type="http://schemas.openxmlformats.org/officeDocument/2006/relationships/hyperlink" Target="http://B032@qq.com" TargetMode="External"/><Relationship Id="rId153" Type="http://schemas.openxmlformats.org/officeDocument/2006/relationships/hyperlink" Target="http://D017@qq.com" TargetMode="External"/><Relationship Id="rId15" Type="http://schemas.openxmlformats.org/officeDocument/2006/relationships/hyperlink" Target="http://A026@qq.com" TargetMode="External"/><Relationship Id="rId36" Type="http://schemas.openxmlformats.org/officeDocument/2006/relationships/hyperlink" Target="http://A009@qq.com" TargetMode="External"/><Relationship Id="rId57" Type="http://schemas.openxmlformats.org/officeDocument/2006/relationships/hyperlink" Target="http://C017@qq.com" TargetMode="External"/><Relationship Id="rId106" Type="http://schemas.openxmlformats.org/officeDocument/2006/relationships/hyperlink" Target="http://D016@qq.com" TargetMode="External"/><Relationship Id="rId127" Type="http://schemas.openxmlformats.org/officeDocument/2006/relationships/hyperlink" Target="http://D031@qq.com" TargetMode="External"/><Relationship Id="rId10" Type="http://schemas.openxmlformats.org/officeDocument/2006/relationships/hyperlink" Target="http://C004@qq.com" TargetMode="External"/><Relationship Id="rId31" Type="http://schemas.openxmlformats.org/officeDocument/2006/relationships/hyperlink" Target="http://B017@qq.com" TargetMode="External"/><Relationship Id="rId52" Type="http://schemas.openxmlformats.org/officeDocument/2006/relationships/hyperlink" Target="http://D019@qq.com" TargetMode="External"/><Relationship Id="rId73" Type="http://schemas.openxmlformats.org/officeDocument/2006/relationships/hyperlink" Target="http://B023@qq.com" TargetMode="External"/><Relationship Id="rId78" Type="http://schemas.openxmlformats.org/officeDocument/2006/relationships/hyperlink" Target="http://C003@qq.com" TargetMode="External"/><Relationship Id="rId94" Type="http://schemas.openxmlformats.org/officeDocument/2006/relationships/hyperlink" Target="http://C012@qq.com" TargetMode="External"/><Relationship Id="rId99" Type="http://schemas.openxmlformats.org/officeDocument/2006/relationships/hyperlink" Target="http://B029@qq.com" TargetMode="External"/><Relationship Id="rId101" Type="http://schemas.openxmlformats.org/officeDocument/2006/relationships/hyperlink" Target="http://D008@qq.com" TargetMode="External"/><Relationship Id="rId122" Type="http://schemas.openxmlformats.org/officeDocument/2006/relationships/hyperlink" Target="http://B039@qq.com" TargetMode="External"/><Relationship Id="rId143" Type="http://schemas.openxmlformats.org/officeDocument/2006/relationships/hyperlink" Target="http://D011@qq.com" TargetMode="External"/><Relationship Id="rId148" Type="http://schemas.openxmlformats.org/officeDocument/2006/relationships/hyperlink" Target="http://D001@qq.com" TargetMode="External"/><Relationship Id="rId4" Type="http://schemas.openxmlformats.org/officeDocument/2006/relationships/hyperlink" Target="http://A031@qq.com" TargetMode="External"/><Relationship Id="rId9" Type="http://schemas.openxmlformats.org/officeDocument/2006/relationships/hyperlink" Target="http://A039@qq.com" TargetMode="External"/><Relationship Id="rId26" Type="http://schemas.openxmlformats.org/officeDocument/2006/relationships/hyperlink" Target="http://B033@qq.com" TargetMode="External"/><Relationship Id="rId47" Type="http://schemas.openxmlformats.org/officeDocument/2006/relationships/hyperlink" Target="http://A021@qq.com" TargetMode="External"/><Relationship Id="rId68" Type="http://schemas.openxmlformats.org/officeDocument/2006/relationships/hyperlink" Target="http://B004@qq.com" TargetMode="External"/><Relationship Id="rId89" Type="http://schemas.openxmlformats.org/officeDocument/2006/relationships/hyperlink" Target="http://C009@qq.com" TargetMode="External"/><Relationship Id="rId112" Type="http://schemas.openxmlformats.org/officeDocument/2006/relationships/hyperlink" Target="http://A004@qq.com" TargetMode="External"/><Relationship Id="rId133" Type="http://schemas.openxmlformats.org/officeDocument/2006/relationships/hyperlink" Target="http://D044@qq.com" TargetMode="External"/><Relationship Id="rId154" Type="http://schemas.openxmlformats.org/officeDocument/2006/relationships/hyperlink" Target="http://D045@qq.com" TargetMode="External"/><Relationship Id="rId16" Type="http://schemas.openxmlformats.org/officeDocument/2006/relationships/hyperlink" Target="http://A011@qq.com" TargetMode="External"/><Relationship Id="rId37" Type="http://schemas.openxmlformats.org/officeDocument/2006/relationships/hyperlink" Target="http://C019@qq.com" TargetMode="External"/><Relationship Id="rId58" Type="http://schemas.openxmlformats.org/officeDocument/2006/relationships/hyperlink" Target="http://B040@qq.com" TargetMode="External"/><Relationship Id="rId79" Type="http://schemas.openxmlformats.org/officeDocument/2006/relationships/hyperlink" Target="http://B025@qq.com" TargetMode="External"/><Relationship Id="rId102" Type="http://schemas.openxmlformats.org/officeDocument/2006/relationships/hyperlink" Target="http://C040@qq.com" TargetMode="External"/><Relationship Id="rId123" Type="http://schemas.openxmlformats.org/officeDocument/2006/relationships/hyperlink" Target="http://B018@qq.com" TargetMode="External"/><Relationship Id="rId144" Type="http://schemas.openxmlformats.org/officeDocument/2006/relationships/hyperlink" Target="http://C024@qq.com" TargetMode="External"/><Relationship Id="rId90" Type="http://schemas.openxmlformats.org/officeDocument/2006/relationships/hyperlink" Target="http://B035@qq.com" TargetMode="External"/><Relationship Id="rId27" Type="http://schemas.openxmlformats.org/officeDocument/2006/relationships/hyperlink" Target="http://A028@qq.com" TargetMode="External"/><Relationship Id="rId48" Type="http://schemas.openxmlformats.org/officeDocument/2006/relationships/hyperlink" Target="http://B011@qq.com" TargetMode="External"/><Relationship Id="rId69" Type="http://schemas.openxmlformats.org/officeDocument/2006/relationships/hyperlink" Target="http://C018@qq.com" TargetMode="External"/><Relationship Id="rId113" Type="http://schemas.openxmlformats.org/officeDocument/2006/relationships/hyperlink" Target="http://B027@qq.com" TargetMode="External"/><Relationship Id="rId134" Type="http://schemas.openxmlformats.org/officeDocument/2006/relationships/hyperlink" Target="http://D036@qq.co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B034@qq.com" TargetMode="External"/><Relationship Id="rId21" Type="http://schemas.openxmlformats.org/officeDocument/2006/relationships/hyperlink" Target="http://A016@qq.com" TargetMode="External"/><Relationship Id="rId42" Type="http://schemas.openxmlformats.org/officeDocument/2006/relationships/hyperlink" Target="http://C003@qq.com" TargetMode="External"/><Relationship Id="rId63" Type="http://schemas.openxmlformats.org/officeDocument/2006/relationships/hyperlink" Target="http://C018@qq.com" TargetMode="External"/><Relationship Id="rId84" Type="http://schemas.openxmlformats.org/officeDocument/2006/relationships/hyperlink" Target="http://D015@qq.com" TargetMode="External"/><Relationship Id="rId138" Type="http://schemas.openxmlformats.org/officeDocument/2006/relationships/hyperlink" Target="http://A018@qq.com" TargetMode="External"/><Relationship Id="rId159" Type="http://schemas.openxmlformats.org/officeDocument/2006/relationships/hyperlink" Target="http://D046@qq.com" TargetMode="External"/><Relationship Id="rId107" Type="http://schemas.openxmlformats.org/officeDocument/2006/relationships/hyperlink" Target="http://D029@qq.com" TargetMode="External"/><Relationship Id="rId11" Type="http://schemas.openxmlformats.org/officeDocument/2006/relationships/hyperlink" Target="http://A002@qq.com" TargetMode="External"/><Relationship Id="rId32" Type="http://schemas.openxmlformats.org/officeDocument/2006/relationships/hyperlink" Target="http://C030@qq.com" TargetMode="External"/><Relationship Id="rId53" Type="http://schemas.openxmlformats.org/officeDocument/2006/relationships/hyperlink" Target="http://D004@qq.com" TargetMode="External"/><Relationship Id="rId74" Type="http://schemas.openxmlformats.org/officeDocument/2006/relationships/hyperlink" Target="http://B017@qq.com" TargetMode="External"/><Relationship Id="rId128" Type="http://schemas.openxmlformats.org/officeDocument/2006/relationships/hyperlink" Target="http://B004@qq.com" TargetMode="External"/><Relationship Id="rId149" Type="http://schemas.openxmlformats.org/officeDocument/2006/relationships/hyperlink" Target="http://C035@qq.com" TargetMode="External"/><Relationship Id="rId5" Type="http://schemas.openxmlformats.org/officeDocument/2006/relationships/hyperlink" Target="http://A009@qq.com" TargetMode="External"/><Relationship Id="rId95" Type="http://schemas.openxmlformats.org/officeDocument/2006/relationships/hyperlink" Target="http://D045@qq.com" TargetMode="External"/><Relationship Id="rId160" Type="http://schemas.openxmlformats.org/officeDocument/2006/relationships/hyperlink" Target="http://D042@qq.com" TargetMode="External"/><Relationship Id="rId22" Type="http://schemas.openxmlformats.org/officeDocument/2006/relationships/hyperlink" Target="http://B020@qq.com" TargetMode="External"/><Relationship Id="rId43" Type="http://schemas.openxmlformats.org/officeDocument/2006/relationships/hyperlink" Target="http://B002@qq.com" TargetMode="External"/><Relationship Id="rId64" Type="http://schemas.openxmlformats.org/officeDocument/2006/relationships/hyperlink" Target="http://B007@qq.com" TargetMode="External"/><Relationship Id="rId118" Type="http://schemas.openxmlformats.org/officeDocument/2006/relationships/hyperlink" Target="http://D025@qq.com" TargetMode="External"/><Relationship Id="rId139" Type="http://schemas.openxmlformats.org/officeDocument/2006/relationships/hyperlink" Target="http://D030@qq.com" TargetMode="External"/><Relationship Id="rId85" Type="http://schemas.openxmlformats.org/officeDocument/2006/relationships/hyperlink" Target="http://A039@qq.com" TargetMode="External"/><Relationship Id="rId150" Type="http://schemas.openxmlformats.org/officeDocument/2006/relationships/hyperlink" Target="http://D028@qq.com" TargetMode="External"/><Relationship Id="rId12" Type="http://schemas.openxmlformats.org/officeDocument/2006/relationships/hyperlink" Target="http://A015@qq.com" TargetMode="External"/><Relationship Id="rId17" Type="http://schemas.openxmlformats.org/officeDocument/2006/relationships/hyperlink" Target="http://A017@qq.com" TargetMode="External"/><Relationship Id="rId33" Type="http://schemas.openxmlformats.org/officeDocument/2006/relationships/hyperlink" Target="http://A021@qq.com" TargetMode="External"/><Relationship Id="rId38" Type="http://schemas.openxmlformats.org/officeDocument/2006/relationships/hyperlink" Target="http://A006@qq.com" TargetMode="External"/><Relationship Id="rId59" Type="http://schemas.openxmlformats.org/officeDocument/2006/relationships/hyperlink" Target="http://B036@qq.com" TargetMode="External"/><Relationship Id="rId103" Type="http://schemas.openxmlformats.org/officeDocument/2006/relationships/hyperlink" Target="http://A040@qq.com" TargetMode="External"/><Relationship Id="rId108" Type="http://schemas.openxmlformats.org/officeDocument/2006/relationships/hyperlink" Target="http://D013@qq.com" TargetMode="External"/><Relationship Id="rId124" Type="http://schemas.openxmlformats.org/officeDocument/2006/relationships/hyperlink" Target="http://C040@qq.com" TargetMode="External"/><Relationship Id="rId129" Type="http://schemas.openxmlformats.org/officeDocument/2006/relationships/hyperlink" Target="http://C036@qq.com" TargetMode="External"/><Relationship Id="rId54" Type="http://schemas.openxmlformats.org/officeDocument/2006/relationships/hyperlink" Target="http://C006@qq.com" TargetMode="External"/><Relationship Id="rId70" Type="http://schemas.openxmlformats.org/officeDocument/2006/relationships/hyperlink" Target="http://D016@qq.com" TargetMode="External"/><Relationship Id="rId75" Type="http://schemas.openxmlformats.org/officeDocument/2006/relationships/hyperlink" Target="http://B019@qq.com" TargetMode="External"/><Relationship Id="rId91" Type="http://schemas.openxmlformats.org/officeDocument/2006/relationships/hyperlink" Target="http://D014@qq.com" TargetMode="External"/><Relationship Id="rId96" Type="http://schemas.openxmlformats.org/officeDocument/2006/relationships/hyperlink" Target="http://A025@qq.com" TargetMode="External"/><Relationship Id="rId140" Type="http://schemas.openxmlformats.org/officeDocument/2006/relationships/hyperlink" Target="http://D017@qq.com" TargetMode="External"/><Relationship Id="rId145" Type="http://schemas.openxmlformats.org/officeDocument/2006/relationships/hyperlink" Target="http://C026@qq.com" TargetMode="External"/><Relationship Id="rId161" Type="http://schemas.openxmlformats.org/officeDocument/2006/relationships/hyperlink" Target="http://A037@qq.com" TargetMode="External"/><Relationship Id="rId1" Type="http://schemas.openxmlformats.org/officeDocument/2006/relationships/hyperlink" Target="http://A023@qq.com" TargetMode="External"/><Relationship Id="rId6" Type="http://schemas.openxmlformats.org/officeDocument/2006/relationships/hyperlink" Target="http://A001@qq.com" TargetMode="External"/><Relationship Id="rId23" Type="http://schemas.openxmlformats.org/officeDocument/2006/relationships/hyperlink" Target="http://D041@qq.com" TargetMode="External"/><Relationship Id="rId28" Type="http://schemas.openxmlformats.org/officeDocument/2006/relationships/hyperlink" Target="http://C025@qq.com" TargetMode="External"/><Relationship Id="rId49" Type="http://schemas.openxmlformats.org/officeDocument/2006/relationships/hyperlink" Target="http://B039@qq.com" TargetMode="External"/><Relationship Id="rId114" Type="http://schemas.openxmlformats.org/officeDocument/2006/relationships/hyperlink" Target="http://B015@qq.com" TargetMode="External"/><Relationship Id="rId119" Type="http://schemas.openxmlformats.org/officeDocument/2006/relationships/hyperlink" Target="http://C020@qq.com" TargetMode="External"/><Relationship Id="rId44" Type="http://schemas.openxmlformats.org/officeDocument/2006/relationships/hyperlink" Target="http://C004@qq.com" TargetMode="External"/><Relationship Id="rId60" Type="http://schemas.openxmlformats.org/officeDocument/2006/relationships/hyperlink" Target="http://B025@qq.com" TargetMode="External"/><Relationship Id="rId65" Type="http://schemas.openxmlformats.org/officeDocument/2006/relationships/hyperlink" Target="http://B018@qq.com" TargetMode="External"/><Relationship Id="rId81" Type="http://schemas.openxmlformats.org/officeDocument/2006/relationships/hyperlink" Target="http://D020@qq.com" TargetMode="External"/><Relationship Id="rId86" Type="http://schemas.openxmlformats.org/officeDocument/2006/relationships/hyperlink" Target="http://D031@qq.com" TargetMode="External"/><Relationship Id="rId130" Type="http://schemas.openxmlformats.org/officeDocument/2006/relationships/hyperlink" Target="http://D035@qq.com" TargetMode="External"/><Relationship Id="rId135" Type="http://schemas.openxmlformats.org/officeDocument/2006/relationships/hyperlink" Target="http://D022@qq.com" TargetMode="External"/><Relationship Id="rId151" Type="http://schemas.openxmlformats.org/officeDocument/2006/relationships/hyperlink" Target="http://C029@qq.com" TargetMode="External"/><Relationship Id="rId156" Type="http://schemas.openxmlformats.org/officeDocument/2006/relationships/hyperlink" Target="http://B003@qq.com" TargetMode="External"/><Relationship Id="rId13" Type="http://schemas.openxmlformats.org/officeDocument/2006/relationships/hyperlink" Target="http://A038@qq.com" TargetMode="External"/><Relationship Id="rId18" Type="http://schemas.openxmlformats.org/officeDocument/2006/relationships/hyperlink" Target="http://A005@qq.com" TargetMode="External"/><Relationship Id="rId39" Type="http://schemas.openxmlformats.org/officeDocument/2006/relationships/hyperlink" Target="http://A032@qq.com" TargetMode="External"/><Relationship Id="rId109" Type="http://schemas.openxmlformats.org/officeDocument/2006/relationships/hyperlink" Target="http://A034@qq.com" TargetMode="External"/><Relationship Id="rId34" Type="http://schemas.openxmlformats.org/officeDocument/2006/relationships/hyperlink" Target="http://C011@qq.com" TargetMode="External"/><Relationship Id="rId50" Type="http://schemas.openxmlformats.org/officeDocument/2006/relationships/hyperlink" Target="http://D032@qq.com" TargetMode="External"/><Relationship Id="rId55" Type="http://schemas.openxmlformats.org/officeDocument/2006/relationships/hyperlink" Target="http://D040@qq.com" TargetMode="External"/><Relationship Id="rId76" Type="http://schemas.openxmlformats.org/officeDocument/2006/relationships/hyperlink" Target="http://C009@qq.com" TargetMode="External"/><Relationship Id="rId97" Type="http://schemas.openxmlformats.org/officeDocument/2006/relationships/hyperlink" Target="http://B013@qq.com" TargetMode="External"/><Relationship Id="rId104" Type="http://schemas.openxmlformats.org/officeDocument/2006/relationships/hyperlink" Target="http://C031@qq.com" TargetMode="External"/><Relationship Id="rId120" Type="http://schemas.openxmlformats.org/officeDocument/2006/relationships/hyperlink" Target="http://D026@qq.com" TargetMode="External"/><Relationship Id="rId125" Type="http://schemas.openxmlformats.org/officeDocument/2006/relationships/hyperlink" Target="http://B016@qq.com" TargetMode="External"/><Relationship Id="rId141" Type="http://schemas.openxmlformats.org/officeDocument/2006/relationships/hyperlink" Target="http://D038@qq.com" TargetMode="External"/><Relationship Id="rId146" Type="http://schemas.openxmlformats.org/officeDocument/2006/relationships/hyperlink" Target="http://D002@qq.com" TargetMode="External"/><Relationship Id="rId7" Type="http://schemas.openxmlformats.org/officeDocument/2006/relationships/hyperlink" Target="http://A011@qq.com" TargetMode="External"/><Relationship Id="rId71" Type="http://schemas.openxmlformats.org/officeDocument/2006/relationships/hyperlink" Target="http://A013@qq.com" TargetMode="External"/><Relationship Id="rId92" Type="http://schemas.openxmlformats.org/officeDocument/2006/relationships/hyperlink" Target="http://B030@qq.com" TargetMode="External"/><Relationship Id="rId162" Type="http://schemas.openxmlformats.org/officeDocument/2006/relationships/hyperlink" Target="http://D033@qq.com" TargetMode="External"/><Relationship Id="rId2" Type="http://schemas.openxmlformats.org/officeDocument/2006/relationships/hyperlink" Target="http://A010@qq.com" TargetMode="External"/><Relationship Id="rId29" Type="http://schemas.openxmlformats.org/officeDocument/2006/relationships/hyperlink" Target="http://B028@qq.com" TargetMode="External"/><Relationship Id="rId24" Type="http://schemas.openxmlformats.org/officeDocument/2006/relationships/hyperlink" Target="http://B006@qq.com" TargetMode="External"/><Relationship Id="rId40" Type="http://schemas.openxmlformats.org/officeDocument/2006/relationships/hyperlink" Target="http://B026@qq.com" TargetMode="External"/><Relationship Id="rId45" Type="http://schemas.openxmlformats.org/officeDocument/2006/relationships/hyperlink" Target="http://D009@qq.com" TargetMode="External"/><Relationship Id="rId66" Type="http://schemas.openxmlformats.org/officeDocument/2006/relationships/hyperlink" Target="http://D001@qq.com" TargetMode="External"/><Relationship Id="rId87" Type="http://schemas.openxmlformats.org/officeDocument/2006/relationships/hyperlink" Target="http://D012@qq.com" TargetMode="External"/><Relationship Id="rId110" Type="http://schemas.openxmlformats.org/officeDocument/2006/relationships/hyperlink" Target="http://D010@qq.com" TargetMode="External"/><Relationship Id="rId115" Type="http://schemas.openxmlformats.org/officeDocument/2006/relationships/hyperlink" Target="http://C034@qq.com" TargetMode="External"/><Relationship Id="rId131" Type="http://schemas.openxmlformats.org/officeDocument/2006/relationships/hyperlink" Target="http://B009@qq.com" TargetMode="External"/><Relationship Id="rId136" Type="http://schemas.openxmlformats.org/officeDocument/2006/relationships/hyperlink" Target="http://D027@qq.com" TargetMode="External"/><Relationship Id="rId157" Type="http://schemas.openxmlformats.org/officeDocument/2006/relationships/hyperlink" Target="http://B033@qq.com" TargetMode="External"/><Relationship Id="rId61" Type="http://schemas.openxmlformats.org/officeDocument/2006/relationships/hyperlink" Target="http://A041@qq.com" TargetMode="External"/><Relationship Id="rId82" Type="http://schemas.openxmlformats.org/officeDocument/2006/relationships/hyperlink" Target="http://D037@qq.com" TargetMode="External"/><Relationship Id="rId152" Type="http://schemas.openxmlformats.org/officeDocument/2006/relationships/hyperlink" Target="http://C024@qq.com" TargetMode="External"/><Relationship Id="rId19" Type="http://schemas.openxmlformats.org/officeDocument/2006/relationships/hyperlink" Target="http://B011@qq.com" TargetMode="External"/><Relationship Id="rId14" Type="http://schemas.openxmlformats.org/officeDocument/2006/relationships/hyperlink" Target="http://B041@qq.com" TargetMode="External"/><Relationship Id="rId30" Type="http://schemas.openxmlformats.org/officeDocument/2006/relationships/hyperlink" Target="http://B010@qq.com" TargetMode="External"/><Relationship Id="rId35" Type="http://schemas.openxmlformats.org/officeDocument/2006/relationships/hyperlink" Target="http://D007@qq.com" TargetMode="External"/><Relationship Id="rId56" Type="http://schemas.openxmlformats.org/officeDocument/2006/relationships/hyperlink" Target="http://A029@qq.com" TargetMode="External"/><Relationship Id="rId77" Type="http://schemas.openxmlformats.org/officeDocument/2006/relationships/hyperlink" Target="http://D011@qq.com" TargetMode="External"/><Relationship Id="rId100" Type="http://schemas.openxmlformats.org/officeDocument/2006/relationships/hyperlink" Target="http://D005@qq.com" TargetMode="External"/><Relationship Id="rId105" Type="http://schemas.openxmlformats.org/officeDocument/2006/relationships/hyperlink" Target="http://B035@qq.com" TargetMode="External"/><Relationship Id="rId126" Type="http://schemas.openxmlformats.org/officeDocument/2006/relationships/hyperlink" Target="http://A030@qq.com" TargetMode="External"/><Relationship Id="rId147" Type="http://schemas.openxmlformats.org/officeDocument/2006/relationships/hyperlink" Target="http://C032@qq.com" TargetMode="External"/><Relationship Id="rId8" Type="http://schemas.openxmlformats.org/officeDocument/2006/relationships/hyperlink" Target="http://A014@qq.com" TargetMode="External"/><Relationship Id="rId51" Type="http://schemas.openxmlformats.org/officeDocument/2006/relationships/hyperlink" Target="http://C017@qq.com" TargetMode="External"/><Relationship Id="rId72" Type="http://schemas.openxmlformats.org/officeDocument/2006/relationships/hyperlink" Target="http://C013@qq.com" TargetMode="External"/><Relationship Id="rId93" Type="http://schemas.openxmlformats.org/officeDocument/2006/relationships/hyperlink" Target="http://C023@qq.com" TargetMode="External"/><Relationship Id="rId98" Type="http://schemas.openxmlformats.org/officeDocument/2006/relationships/hyperlink" Target="http://D034@qq.com" TargetMode="External"/><Relationship Id="rId121" Type="http://schemas.openxmlformats.org/officeDocument/2006/relationships/hyperlink" Target="http://D039@qq.com" TargetMode="External"/><Relationship Id="rId142" Type="http://schemas.openxmlformats.org/officeDocument/2006/relationships/hyperlink" Target="http://C042@qq.com" TargetMode="External"/><Relationship Id="rId3" Type="http://schemas.openxmlformats.org/officeDocument/2006/relationships/hyperlink" Target="http://A028@qq.com" TargetMode="External"/><Relationship Id="rId25" Type="http://schemas.openxmlformats.org/officeDocument/2006/relationships/hyperlink" Target="http://C038@qq.com" TargetMode="External"/><Relationship Id="rId46" Type="http://schemas.openxmlformats.org/officeDocument/2006/relationships/hyperlink" Target="http://C005@qq.com" TargetMode="External"/><Relationship Id="rId67" Type="http://schemas.openxmlformats.org/officeDocument/2006/relationships/hyperlink" Target="http://B040@qq.com" TargetMode="External"/><Relationship Id="rId116" Type="http://schemas.openxmlformats.org/officeDocument/2006/relationships/hyperlink" Target="http://B043@qq.com" TargetMode="External"/><Relationship Id="rId137" Type="http://schemas.openxmlformats.org/officeDocument/2006/relationships/hyperlink" Target="http://B022@qq.com" TargetMode="External"/><Relationship Id="rId158" Type="http://schemas.openxmlformats.org/officeDocument/2006/relationships/hyperlink" Target="http://B027@qq.com" TargetMode="External"/><Relationship Id="rId20" Type="http://schemas.openxmlformats.org/officeDocument/2006/relationships/hyperlink" Target="http://A012@qq.com" TargetMode="External"/><Relationship Id="rId41" Type="http://schemas.openxmlformats.org/officeDocument/2006/relationships/hyperlink" Target="http://A020@qq.com" TargetMode="External"/><Relationship Id="rId62" Type="http://schemas.openxmlformats.org/officeDocument/2006/relationships/hyperlink" Target="http://A033@qq.com" TargetMode="External"/><Relationship Id="rId83" Type="http://schemas.openxmlformats.org/officeDocument/2006/relationships/hyperlink" Target="http://C041@qq.com" TargetMode="External"/><Relationship Id="rId88" Type="http://schemas.openxmlformats.org/officeDocument/2006/relationships/hyperlink" Target="http://C039@qq.com" TargetMode="External"/><Relationship Id="rId111" Type="http://schemas.openxmlformats.org/officeDocument/2006/relationships/hyperlink" Target="http://A026@qq.com" TargetMode="External"/><Relationship Id="rId132" Type="http://schemas.openxmlformats.org/officeDocument/2006/relationships/hyperlink" Target="http://C012@qq.com" TargetMode="External"/><Relationship Id="rId153" Type="http://schemas.openxmlformats.org/officeDocument/2006/relationships/hyperlink" Target="http://D021@qq.com" TargetMode="External"/><Relationship Id="rId15" Type="http://schemas.openxmlformats.org/officeDocument/2006/relationships/hyperlink" Target="http://A024@qq.com" TargetMode="External"/><Relationship Id="rId36" Type="http://schemas.openxmlformats.org/officeDocument/2006/relationships/hyperlink" Target="http://B042@qq.com" TargetMode="External"/><Relationship Id="rId57" Type="http://schemas.openxmlformats.org/officeDocument/2006/relationships/hyperlink" Target="http://B024@qq.com" TargetMode="External"/><Relationship Id="rId106" Type="http://schemas.openxmlformats.org/officeDocument/2006/relationships/hyperlink" Target="http://A004@qq.com" TargetMode="External"/><Relationship Id="rId127" Type="http://schemas.openxmlformats.org/officeDocument/2006/relationships/hyperlink" Target="http://A003@qq.com" TargetMode="External"/><Relationship Id="rId10" Type="http://schemas.openxmlformats.org/officeDocument/2006/relationships/hyperlink" Target="http://A043@qq.com" TargetMode="External"/><Relationship Id="rId31" Type="http://schemas.openxmlformats.org/officeDocument/2006/relationships/hyperlink" Target="http://B037@qq.com" TargetMode="External"/><Relationship Id="rId52" Type="http://schemas.openxmlformats.org/officeDocument/2006/relationships/hyperlink" Target="http://C002@qq.com" TargetMode="External"/><Relationship Id="rId73" Type="http://schemas.openxmlformats.org/officeDocument/2006/relationships/hyperlink" Target="http://B008@qq.com" TargetMode="External"/><Relationship Id="rId78" Type="http://schemas.openxmlformats.org/officeDocument/2006/relationships/hyperlink" Target="http://C001@qq.com" TargetMode="External"/><Relationship Id="rId94" Type="http://schemas.openxmlformats.org/officeDocument/2006/relationships/hyperlink" Target="http://B032@qq.com" TargetMode="External"/><Relationship Id="rId99" Type="http://schemas.openxmlformats.org/officeDocument/2006/relationships/hyperlink" Target="http://D003@qq.com" TargetMode="External"/><Relationship Id="rId101" Type="http://schemas.openxmlformats.org/officeDocument/2006/relationships/hyperlink" Target="http://B038@qq.com" TargetMode="External"/><Relationship Id="rId122" Type="http://schemas.openxmlformats.org/officeDocument/2006/relationships/hyperlink" Target="http://C021@qq.com" TargetMode="External"/><Relationship Id="rId143" Type="http://schemas.openxmlformats.org/officeDocument/2006/relationships/hyperlink" Target="http://D006@qq.com" TargetMode="External"/><Relationship Id="rId148" Type="http://schemas.openxmlformats.org/officeDocument/2006/relationships/hyperlink" Target="http://D036@qq.com" TargetMode="External"/><Relationship Id="rId4" Type="http://schemas.openxmlformats.org/officeDocument/2006/relationships/hyperlink" Target="http://A036@qq.com" TargetMode="External"/><Relationship Id="rId9" Type="http://schemas.openxmlformats.org/officeDocument/2006/relationships/hyperlink" Target="http://B005@qq.com" TargetMode="External"/><Relationship Id="rId26" Type="http://schemas.openxmlformats.org/officeDocument/2006/relationships/hyperlink" Target="http://A022@qq.com" TargetMode="External"/><Relationship Id="rId47" Type="http://schemas.openxmlformats.org/officeDocument/2006/relationships/hyperlink" Target="http://B031@qq.com" TargetMode="External"/><Relationship Id="rId68" Type="http://schemas.openxmlformats.org/officeDocument/2006/relationships/hyperlink" Target="http://A008@qq.com" TargetMode="External"/><Relationship Id="rId89" Type="http://schemas.openxmlformats.org/officeDocument/2006/relationships/hyperlink" Target="http://D018@qq.com" TargetMode="External"/><Relationship Id="rId112" Type="http://schemas.openxmlformats.org/officeDocument/2006/relationships/hyperlink" Target="http://C007@qq.com" TargetMode="External"/><Relationship Id="rId133" Type="http://schemas.openxmlformats.org/officeDocument/2006/relationships/hyperlink" Target="http://D024@qq.com" TargetMode="External"/><Relationship Id="rId154" Type="http://schemas.openxmlformats.org/officeDocument/2006/relationships/hyperlink" Target="http://A042@qq.com" TargetMode="External"/><Relationship Id="rId16" Type="http://schemas.openxmlformats.org/officeDocument/2006/relationships/hyperlink" Target="http://B021@qq.com" TargetMode="External"/><Relationship Id="rId37" Type="http://schemas.openxmlformats.org/officeDocument/2006/relationships/hyperlink" Target="http://A031@qq.com" TargetMode="External"/><Relationship Id="rId58" Type="http://schemas.openxmlformats.org/officeDocument/2006/relationships/hyperlink" Target="http://C019@qq.com" TargetMode="External"/><Relationship Id="rId79" Type="http://schemas.openxmlformats.org/officeDocument/2006/relationships/hyperlink" Target="http://C015@qq.com" TargetMode="External"/><Relationship Id="rId102" Type="http://schemas.openxmlformats.org/officeDocument/2006/relationships/hyperlink" Target="http://D008@qq.com" TargetMode="External"/><Relationship Id="rId123" Type="http://schemas.openxmlformats.org/officeDocument/2006/relationships/hyperlink" Target="http://C010@qq.com" TargetMode="External"/><Relationship Id="rId144" Type="http://schemas.openxmlformats.org/officeDocument/2006/relationships/hyperlink" Target="http://B023@qq.com" TargetMode="External"/><Relationship Id="rId90" Type="http://schemas.openxmlformats.org/officeDocument/2006/relationships/hyperlink" Target="http://D019@qq.com" TargetMode="External"/><Relationship Id="rId27" Type="http://schemas.openxmlformats.org/officeDocument/2006/relationships/hyperlink" Target="http://B001@qq.com" TargetMode="External"/><Relationship Id="rId48" Type="http://schemas.openxmlformats.org/officeDocument/2006/relationships/hyperlink" Target="http://C022@qq.com" TargetMode="External"/><Relationship Id="rId69" Type="http://schemas.openxmlformats.org/officeDocument/2006/relationships/hyperlink" Target="http://A007@qq.com" TargetMode="External"/><Relationship Id="rId113" Type="http://schemas.openxmlformats.org/officeDocument/2006/relationships/hyperlink" Target="http://B029@qq.com" TargetMode="External"/><Relationship Id="rId134" Type="http://schemas.openxmlformats.org/officeDocument/2006/relationships/hyperlink" Target="http://D044@qq.com" TargetMode="External"/><Relationship Id="rId80" Type="http://schemas.openxmlformats.org/officeDocument/2006/relationships/hyperlink" Target="http://C008@qq.com" TargetMode="External"/><Relationship Id="rId155" Type="http://schemas.openxmlformats.org/officeDocument/2006/relationships/hyperlink" Target="http://C03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67"/>
  <sheetViews>
    <sheetView workbookViewId="0"/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2" x14ac:dyDescent="0.3">
      <c r="A2">
        <v>1</v>
      </c>
      <c r="B2" t="s">
        <v>10</v>
      </c>
      <c r="C2" s="1" t="s">
        <v>11</v>
      </c>
      <c r="D2" t="s">
        <v>12</v>
      </c>
      <c r="E2" t="s">
        <v>13</v>
      </c>
      <c r="G2">
        <v>266</v>
      </c>
      <c r="H2">
        <v>100</v>
      </c>
      <c r="I2">
        <v>66</v>
      </c>
      <c r="J2">
        <v>100</v>
      </c>
      <c r="O2" s="1"/>
      <c r="AA2" s="1"/>
      <c r="AL2" s="1"/>
      <c r="AW2" s="1"/>
      <c r="BH2" s="1"/>
      <c r="BS2" s="1"/>
      <c r="CD2" s="1"/>
    </row>
    <row r="3" spans="1:82" x14ac:dyDescent="0.3">
      <c r="A3">
        <v>2</v>
      </c>
      <c r="B3" t="s">
        <v>14</v>
      </c>
      <c r="C3" s="1" t="s">
        <v>15</v>
      </c>
      <c r="D3" t="s">
        <v>16</v>
      </c>
      <c r="E3" t="s">
        <v>17</v>
      </c>
      <c r="G3">
        <v>234</v>
      </c>
      <c r="H3">
        <v>100</v>
      </c>
      <c r="I3">
        <v>100</v>
      </c>
      <c r="J3">
        <v>34</v>
      </c>
      <c r="O3" s="1"/>
      <c r="AA3" s="1"/>
      <c r="AL3" s="1"/>
      <c r="AW3" s="1"/>
      <c r="BH3" s="1"/>
      <c r="BS3" s="1"/>
      <c r="CD3" s="1"/>
    </row>
    <row r="4" spans="1:82" x14ac:dyDescent="0.3">
      <c r="A4">
        <v>3</v>
      </c>
      <c r="B4" t="s">
        <v>18</v>
      </c>
      <c r="C4" s="1" t="s">
        <v>19</v>
      </c>
      <c r="D4" t="s">
        <v>20</v>
      </c>
      <c r="E4" t="s">
        <v>21</v>
      </c>
      <c r="G4">
        <v>225</v>
      </c>
      <c r="H4">
        <v>100</v>
      </c>
      <c r="I4">
        <v>100</v>
      </c>
      <c r="J4">
        <v>25</v>
      </c>
      <c r="O4" s="1"/>
      <c r="AA4" s="1"/>
      <c r="AL4" s="1"/>
      <c r="AW4" s="1"/>
      <c r="BH4" s="1"/>
      <c r="BS4" s="1"/>
      <c r="CD4" s="1"/>
    </row>
    <row r="5" spans="1:82" x14ac:dyDescent="0.3">
      <c r="A5">
        <v>3</v>
      </c>
      <c r="B5" t="s">
        <v>22</v>
      </c>
      <c r="C5" s="1" t="s">
        <v>23</v>
      </c>
      <c r="D5" t="s">
        <v>24</v>
      </c>
      <c r="E5" t="s">
        <v>25</v>
      </c>
      <c r="G5">
        <v>225</v>
      </c>
      <c r="H5">
        <v>100</v>
      </c>
      <c r="I5">
        <v>100</v>
      </c>
      <c r="J5">
        <v>25</v>
      </c>
      <c r="O5" s="1"/>
      <c r="AA5" s="1"/>
      <c r="AL5" s="1"/>
      <c r="AW5" s="1"/>
      <c r="BH5" s="1"/>
      <c r="BS5" s="1"/>
      <c r="CD5" s="1"/>
    </row>
    <row r="6" spans="1:82" x14ac:dyDescent="0.3">
      <c r="A6">
        <v>3</v>
      </c>
      <c r="B6" t="s">
        <v>26</v>
      </c>
      <c r="C6" s="1" t="s">
        <v>27</v>
      </c>
      <c r="D6" t="s">
        <v>28</v>
      </c>
      <c r="E6" t="s">
        <v>29</v>
      </c>
      <c r="G6">
        <v>225</v>
      </c>
      <c r="H6">
        <v>100</v>
      </c>
      <c r="I6">
        <v>100</v>
      </c>
      <c r="J6">
        <v>25</v>
      </c>
      <c r="O6" s="1"/>
      <c r="AA6" s="1"/>
      <c r="AL6" s="1"/>
      <c r="AW6" s="1"/>
      <c r="BH6" s="1"/>
      <c r="BS6" s="1"/>
      <c r="CD6" s="1"/>
    </row>
    <row r="7" spans="1:82" x14ac:dyDescent="0.3">
      <c r="A7">
        <v>3</v>
      </c>
      <c r="B7" t="s">
        <v>30</v>
      </c>
      <c r="C7" s="1" t="s">
        <v>31</v>
      </c>
      <c r="D7" t="s">
        <v>20</v>
      </c>
      <c r="E7" t="s">
        <v>32</v>
      </c>
      <c r="G7">
        <v>225</v>
      </c>
      <c r="H7">
        <v>100</v>
      </c>
      <c r="I7">
        <v>100</v>
      </c>
      <c r="J7">
        <v>25</v>
      </c>
      <c r="O7" s="1"/>
      <c r="AA7" s="1"/>
      <c r="AL7" s="1"/>
      <c r="AW7" s="1"/>
      <c r="BH7" s="1"/>
      <c r="BS7" s="1"/>
      <c r="CD7" s="1"/>
    </row>
    <row r="8" spans="1:82" x14ac:dyDescent="0.3">
      <c r="A8">
        <v>3</v>
      </c>
      <c r="B8" t="s">
        <v>33</v>
      </c>
      <c r="C8" s="1" t="s">
        <v>34</v>
      </c>
      <c r="D8" t="s">
        <v>16</v>
      </c>
      <c r="E8" t="s">
        <v>35</v>
      </c>
      <c r="G8">
        <v>225</v>
      </c>
      <c r="H8">
        <v>100</v>
      </c>
      <c r="I8">
        <v>100</v>
      </c>
      <c r="J8">
        <v>25</v>
      </c>
      <c r="O8" s="1"/>
      <c r="AA8" s="1"/>
      <c r="AL8" s="1"/>
      <c r="AW8" s="1"/>
      <c r="BH8" s="1"/>
      <c r="BS8" s="1"/>
      <c r="CD8" s="1"/>
    </row>
    <row r="9" spans="1:82" x14ac:dyDescent="0.3">
      <c r="A9">
        <v>3</v>
      </c>
      <c r="B9" t="s">
        <v>36</v>
      </c>
      <c r="C9" s="1" t="s">
        <v>37</v>
      </c>
      <c r="D9" t="s">
        <v>16</v>
      </c>
      <c r="E9" t="s">
        <v>38</v>
      </c>
      <c r="G9">
        <v>225</v>
      </c>
      <c r="H9">
        <v>100</v>
      </c>
      <c r="I9">
        <v>100</v>
      </c>
      <c r="J9">
        <v>25</v>
      </c>
      <c r="O9" s="1"/>
      <c r="AA9" s="1"/>
      <c r="AL9" s="1"/>
      <c r="AW9" s="1"/>
      <c r="BH9" s="1"/>
      <c r="BS9" s="1"/>
      <c r="CD9" s="1"/>
    </row>
    <row r="10" spans="1:82" x14ac:dyDescent="0.3">
      <c r="A10">
        <v>9</v>
      </c>
      <c r="B10" t="s">
        <v>39</v>
      </c>
      <c r="C10" s="1" t="s">
        <v>40</v>
      </c>
      <c r="D10" t="s">
        <v>41</v>
      </c>
      <c r="E10" t="s">
        <v>42</v>
      </c>
      <c r="G10">
        <v>218</v>
      </c>
      <c r="H10">
        <v>100</v>
      </c>
      <c r="I10">
        <v>100</v>
      </c>
      <c r="J10">
        <v>18</v>
      </c>
      <c r="O10" s="1"/>
      <c r="AA10" s="1"/>
      <c r="AL10" s="1"/>
      <c r="AW10" s="1"/>
      <c r="BH10" s="1"/>
      <c r="BS10" s="1"/>
      <c r="CD10" s="1"/>
    </row>
    <row r="11" spans="1:82" x14ac:dyDescent="0.3">
      <c r="A11">
        <v>9</v>
      </c>
      <c r="B11" t="s">
        <v>43</v>
      </c>
      <c r="C11" s="1" t="s">
        <v>44</v>
      </c>
      <c r="D11" t="s">
        <v>24</v>
      </c>
      <c r="E11" t="s">
        <v>45</v>
      </c>
      <c r="G11">
        <v>218</v>
      </c>
      <c r="H11">
        <v>100</v>
      </c>
      <c r="I11">
        <v>100</v>
      </c>
      <c r="J11">
        <v>18</v>
      </c>
      <c r="O11" s="1"/>
      <c r="AA11" s="1"/>
      <c r="AL11" s="1"/>
      <c r="AW11" s="1"/>
      <c r="BH11" s="1"/>
      <c r="BS11" s="1"/>
      <c r="CD11" s="1"/>
    </row>
    <row r="12" spans="1:82" x14ac:dyDescent="0.3">
      <c r="A12">
        <v>11</v>
      </c>
      <c r="B12" t="s">
        <v>46</v>
      </c>
      <c r="C12" s="1" t="s">
        <v>47</v>
      </c>
      <c r="D12" t="s">
        <v>48</v>
      </c>
      <c r="E12" t="s">
        <v>49</v>
      </c>
      <c r="G12">
        <v>207</v>
      </c>
      <c r="H12">
        <v>100</v>
      </c>
      <c r="I12">
        <v>100</v>
      </c>
      <c r="J12">
        <v>7</v>
      </c>
      <c r="O12" s="1"/>
      <c r="AA12" s="1"/>
      <c r="AL12" s="1"/>
      <c r="AW12" s="1"/>
      <c r="BH12" s="1"/>
      <c r="BS12" s="1"/>
      <c r="CD12" s="1"/>
    </row>
    <row r="13" spans="1:82" x14ac:dyDescent="0.3">
      <c r="A13">
        <v>11</v>
      </c>
      <c r="B13" t="s">
        <v>50</v>
      </c>
      <c r="C13" s="1" t="s">
        <v>51</v>
      </c>
      <c r="D13" t="s">
        <v>52</v>
      </c>
      <c r="E13" t="s">
        <v>53</v>
      </c>
      <c r="G13">
        <v>207</v>
      </c>
      <c r="H13">
        <v>100</v>
      </c>
      <c r="I13">
        <v>100</v>
      </c>
      <c r="J13">
        <v>7</v>
      </c>
      <c r="O13" s="1"/>
      <c r="AA13" s="1"/>
      <c r="AL13" s="1"/>
      <c r="AW13" s="1"/>
      <c r="BH13" s="1"/>
      <c r="BS13" s="1"/>
      <c r="CD13" s="1"/>
    </row>
    <row r="14" spans="1:82" x14ac:dyDescent="0.3">
      <c r="A14">
        <v>13</v>
      </c>
      <c r="B14" t="s">
        <v>54</v>
      </c>
      <c r="C14" s="1" t="s">
        <v>55</v>
      </c>
      <c r="D14" t="s">
        <v>56</v>
      </c>
      <c r="E14" t="s">
        <v>57</v>
      </c>
      <c r="G14">
        <v>200</v>
      </c>
      <c r="H14">
        <v>100</v>
      </c>
      <c r="I14">
        <v>100</v>
      </c>
      <c r="J14">
        <v>0</v>
      </c>
      <c r="O14" s="1"/>
      <c r="AA14" s="1"/>
      <c r="AL14" s="1"/>
      <c r="AW14" s="1"/>
      <c r="BH14" s="1"/>
      <c r="BS14" s="1"/>
      <c r="CD14" s="1"/>
    </row>
    <row r="15" spans="1:82" x14ac:dyDescent="0.3">
      <c r="A15">
        <v>13</v>
      </c>
      <c r="B15" t="s">
        <v>58</v>
      </c>
      <c r="C15" s="1" t="s">
        <v>59</v>
      </c>
      <c r="D15" t="s">
        <v>60</v>
      </c>
      <c r="E15" t="s">
        <v>61</v>
      </c>
      <c r="G15">
        <v>200</v>
      </c>
      <c r="H15">
        <v>100</v>
      </c>
      <c r="I15">
        <v>100</v>
      </c>
      <c r="J15">
        <v>0</v>
      </c>
      <c r="O15" s="1"/>
      <c r="AA15" s="1"/>
      <c r="AL15" s="1"/>
      <c r="AW15" s="1"/>
      <c r="BH15" s="1"/>
      <c r="BS15" s="1"/>
      <c r="CD15" s="1"/>
    </row>
    <row r="16" spans="1:82" x14ac:dyDescent="0.3">
      <c r="A16">
        <v>13</v>
      </c>
      <c r="B16" t="s">
        <v>62</v>
      </c>
      <c r="C16" s="1" t="s">
        <v>63</v>
      </c>
      <c r="D16" t="s">
        <v>64</v>
      </c>
      <c r="E16" t="s">
        <v>65</v>
      </c>
      <c r="G16">
        <v>200</v>
      </c>
      <c r="H16">
        <v>100</v>
      </c>
      <c r="I16">
        <v>100</v>
      </c>
      <c r="J16">
        <v>0</v>
      </c>
      <c r="O16" s="1"/>
      <c r="AA16" s="1"/>
      <c r="AL16" s="1"/>
      <c r="AW16" s="1"/>
      <c r="BH16" s="1"/>
      <c r="BS16" s="1"/>
      <c r="CD16" s="1"/>
    </row>
    <row r="17" spans="1:82" x14ac:dyDescent="0.3">
      <c r="A17">
        <v>13</v>
      </c>
      <c r="B17" t="s">
        <v>66</v>
      </c>
      <c r="C17" s="1" t="s">
        <v>67</v>
      </c>
      <c r="D17" t="s">
        <v>68</v>
      </c>
      <c r="E17" t="s">
        <v>69</v>
      </c>
      <c r="G17">
        <v>200</v>
      </c>
      <c r="H17">
        <v>100</v>
      </c>
      <c r="I17">
        <v>100</v>
      </c>
      <c r="J17">
        <v>0</v>
      </c>
      <c r="O17" s="1"/>
      <c r="AA17" s="1"/>
      <c r="AL17" s="1"/>
      <c r="AW17" s="1"/>
      <c r="BH17" s="1"/>
      <c r="BS17" s="1"/>
      <c r="CD17" s="1"/>
    </row>
    <row r="18" spans="1:82" x14ac:dyDescent="0.3">
      <c r="A18">
        <v>17</v>
      </c>
      <c r="B18" t="s">
        <v>70</v>
      </c>
      <c r="C18" s="1" t="s">
        <v>71</v>
      </c>
      <c r="D18" t="s">
        <v>16</v>
      </c>
      <c r="E18" t="s">
        <v>72</v>
      </c>
      <c r="G18">
        <v>191</v>
      </c>
      <c r="H18">
        <v>100</v>
      </c>
      <c r="I18">
        <v>66</v>
      </c>
      <c r="J18">
        <v>25</v>
      </c>
      <c r="O18" s="1"/>
      <c r="AA18" s="1"/>
      <c r="AL18" s="1"/>
      <c r="AW18" s="1"/>
      <c r="BH18" s="1"/>
      <c r="BS18" s="1"/>
      <c r="CD18" s="1"/>
    </row>
    <row r="19" spans="1:82" x14ac:dyDescent="0.3">
      <c r="A19">
        <v>18</v>
      </c>
      <c r="B19" t="s">
        <v>73</v>
      </c>
      <c r="C19" s="1" t="s">
        <v>74</v>
      </c>
      <c r="D19" t="s">
        <v>28</v>
      </c>
      <c r="E19" t="s">
        <v>75</v>
      </c>
      <c r="G19">
        <v>182</v>
      </c>
      <c r="H19">
        <v>100</v>
      </c>
      <c r="I19">
        <v>66</v>
      </c>
      <c r="J19">
        <v>16</v>
      </c>
      <c r="O19" s="1"/>
      <c r="AA19" s="1"/>
      <c r="AL19" s="1"/>
      <c r="AW19" s="1"/>
      <c r="BH19" s="1"/>
      <c r="BS19" s="1"/>
      <c r="CD19" s="1"/>
    </row>
    <row r="20" spans="1:82" x14ac:dyDescent="0.3">
      <c r="A20">
        <v>19</v>
      </c>
      <c r="B20" t="s">
        <v>76</v>
      </c>
      <c r="C20" s="1" t="s">
        <v>77</v>
      </c>
      <c r="D20" t="s">
        <v>64</v>
      </c>
      <c r="E20" t="s">
        <v>78</v>
      </c>
      <c r="G20">
        <v>167</v>
      </c>
      <c r="H20">
        <v>100</v>
      </c>
      <c r="I20">
        <v>42</v>
      </c>
      <c r="J20">
        <v>25</v>
      </c>
      <c r="O20" s="1"/>
      <c r="AA20" s="1"/>
      <c r="AL20" s="1"/>
      <c r="AW20" s="1"/>
      <c r="BH20" s="1"/>
      <c r="BS20" s="1"/>
      <c r="CD20" s="1"/>
    </row>
    <row r="21" spans="1:82" x14ac:dyDescent="0.3">
      <c r="A21">
        <v>19</v>
      </c>
      <c r="B21" t="s">
        <v>79</v>
      </c>
      <c r="C21" s="1" t="s">
        <v>80</v>
      </c>
      <c r="D21" t="s">
        <v>81</v>
      </c>
      <c r="E21" t="s">
        <v>82</v>
      </c>
      <c r="G21">
        <v>167</v>
      </c>
      <c r="H21">
        <v>100</v>
      </c>
      <c r="I21">
        <v>42</v>
      </c>
      <c r="J21">
        <v>25</v>
      </c>
      <c r="O21" s="1"/>
      <c r="AA21" s="1"/>
      <c r="AL21" s="1"/>
      <c r="AW21" s="1"/>
      <c r="BH21" s="1"/>
      <c r="BS21" s="1"/>
      <c r="CD21" s="1"/>
    </row>
    <row r="22" spans="1:82" x14ac:dyDescent="0.3">
      <c r="A22">
        <v>21</v>
      </c>
      <c r="B22" t="s">
        <v>83</v>
      </c>
      <c r="C22" s="1" t="s">
        <v>84</v>
      </c>
      <c r="D22" t="s">
        <v>85</v>
      </c>
      <c r="E22" t="s">
        <v>86</v>
      </c>
      <c r="G22">
        <v>166</v>
      </c>
      <c r="H22">
        <v>100</v>
      </c>
      <c r="I22">
        <v>66</v>
      </c>
      <c r="J22">
        <v>0</v>
      </c>
      <c r="O22" s="1"/>
      <c r="AA22" s="1"/>
      <c r="AL22" s="1"/>
      <c r="AW22" s="1"/>
      <c r="BH22" s="1"/>
      <c r="BS22" s="1"/>
      <c r="CD22" s="1"/>
    </row>
    <row r="23" spans="1:82" x14ac:dyDescent="0.3">
      <c r="A23">
        <v>21</v>
      </c>
      <c r="B23" t="s">
        <v>87</v>
      </c>
      <c r="C23" s="1" t="s">
        <v>88</v>
      </c>
      <c r="D23" t="s">
        <v>89</v>
      </c>
      <c r="E23" t="s">
        <v>90</v>
      </c>
      <c r="G23">
        <v>166</v>
      </c>
      <c r="H23">
        <v>100</v>
      </c>
      <c r="I23">
        <v>66</v>
      </c>
      <c r="J23">
        <v>0</v>
      </c>
      <c r="O23" s="1"/>
      <c r="AA23" s="1"/>
      <c r="AL23" s="1"/>
      <c r="AW23" s="1"/>
      <c r="BH23" s="1"/>
      <c r="BS23" s="1"/>
      <c r="CD23" s="1"/>
    </row>
    <row r="24" spans="1:82" x14ac:dyDescent="0.3">
      <c r="A24">
        <v>21</v>
      </c>
      <c r="B24" t="s">
        <v>91</v>
      </c>
      <c r="C24" s="1" t="s">
        <v>92</v>
      </c>
      <c r="D24" t="s">
        <v>12</v>
      </c>
      <c r="E24" t="s">
        <v>93</v>
      </c>
      <c r="G24">
        <v>166</v>
      </c>
      <c r="H24">
        <v>100</v>
      </c>
      <c r="I24">
        <v>66</v>
      </c>
      <c r="J24">
        <v>0</v>
      </c>
      <c r="O24" s="1"/>
      <c r="AA24" s="1"/>
      <c r="AL24" s="1"/>
      <c r="AW24" s="1"/>
      <c r="BH24" s="1"/>
      <c r="BS24" s="1"/>
      <c r="CD24" s="1"/>
    </row>
    <row r="25" spans="1:82" x14ac:dyDescent="0.3">
      <c r="A25">
        <v>21</v>
      </c>
      <c r="B25" t="s">
        <v>94</v>
      </c>
      <c r="C25" s="1" t="s">
        <v>95</v>
      </c>
      <c r="D25" t="s">
        <v>96</v>
      </c>
      <c r="E25" t="s">
        <v>97</v>
      </c>
      <c r="G25">
        <v>166</v>
      </c>
      <c r="H25">
        <v>100</v>
      </c>
      <c r="I25">
        <v>66</v>
      </c>
      <c r="J25">
        <v>0</v>
      </c>
      <c r="O25" s="1"/>
      <c r="AA25" s="1"/>
      <c r="AL25" s="1"/>
      <c r="AW25" s="1"/>
      <c r="BH25" s="1"/>
      <c r="BS25" s="1"/>
      <c r="CD25" s="1"/>
    </row>
    <row r="26" spans="1:82" x14ac:dyDescent="0.3">
      <c r="A26">
        <v>25</v>
      </c>
      <c r="B26" t="s">
        <v>98</v>
      </c>
      <c r="C26" s="1" t="s">
        <v>99</v>
      </c>
      <c r="D26" t="s">
        <v>100</v>
      </c>
      <c r="E26" t="s">
        <v>101</v>
      </c>
      <c r="G26">
        <v>160</v>
      </c>
      <c r="H26">
        <v>100</v>
      </c>
      <c r="I26">
        <v>42</v>
      </c>
      <c r="J26">
        <v>18</v>
      </c>
      <c r="O26" s="1"/>
      <c r="AA26" s="1"/>
      <c r="AL26" s="1"/>
      <c r="AW26" s="1"/>
      <c r="BH26" s="1"/>
      <c r="BS26" s="1"/>
      <c r="CD26" s="1"/>
    </row>
    <row r="27" spans="1:82" x14ac:dyDescent="0.3">
      <c r="A27">
        <v>26</v>
      </c>
      <c r="B27" t="s">
        <v>102</v>
      </c>
      <c r="C27" s="1" t="s">
        <v>103</v>
      </c>
      <c r="D27" t="s">
        <v>104</v>
      </c>
      <c r="E27" t="s">
        <v>105</v>
      </c>
      <c r="G27">
        <v>152</v>
      </c>
      <c r="H27">
        <v>100</v>
      </c>
      <c r="I27">
        <v>27</v>
      </c>
      <c r="J27">
        <v>25</v>
      </c>
      <c r="O27" s="1"/>
      <c r="AA27" s="1"/>
      <c r="AL27" s="1"/>
      <c r="AW27" s="1"/>
      <c r="BH27" s="1"/>
      <c r="BS27" s="1"/>
      <c r="CD27" s="1"/>
    </row>
    <row r="28" spans="1:82" x14ac:dyDescent="0.3">
      <c r="A28">
        <v>26</v>
      </c>
      <c r="B28" t="s">
        <v>106</v>
      </c>
      <c r="C28" s="1" t="s">
        <v>107</v>
      </c>
      <c r="D28" t="s">
        <v>108</v>
      </c>
      <c r="E28" t="s">
        <v>109</v>
      </c>
      <c r="G28">
        <v>152</v>
      </c>
      <c r="H28">
        <v>100</v>
      </c>
      <c r="I28">
        <v>27</v>
      </c>
      <c r="J28">
        <v>25</v>
      </c>
      <c r="O28" s="1"/>
      <c r="AA28" s="1"/>
      <c r="AL28" s="1"/>
      <c r="AW28" s="1"/>
      <c r="BH28" s="1"/>
      <c r="BS28" s="1"/>
      <c r="CD28" s="1"/>
    </row>
    <row r="29" spans="1:82" x14ac:dyDescent="0.3">
      <c r="A29">
        <v>28</v>
      </c>
      <c r="B29" t="s">
        <v>110</v>
      </c>
      <c r="C29" s="1" t="s">
        <v>111</v>
      </c>
      <c r="D29" t="s">
        <v>96</v>
      </c>
      <c r="E29" t="s">
        <v>112</v>
      </c>
      <c r="G29">
        <v>149</v>
      </c>
      <c r="H29">
        <v>100</v>
      </c>
      <c r="I29">
        <v>42</v>
      </c>
      <c r="J29">
        <v>7</v>
      </c>
      <c r="O29" s="1"/>
      <c r="AA29" s="1"/>
      <c r="AL29" s="1"/>
      <c r="AW29" s="1"/>
      <c r="BH29" s="1"/>
      <c r="BS29" s="1"/>
      <c r="CD29" s="1"/>
    </row>
    <row r="30" spans="1:82" x14ac:dyDescent="0.3">
      <c r="A30">
        <v>28</v>
      </c>
      <c r="B30" t="s">
        <v>113</v>
      </c>
      <c r="C30" s="1" t="s">
        <v>114</v>
      </c>
      <c r="D30" t="s">
        <v>60</v>
      </c>
      <c r="E30" t="s">
        <v>115</v>
      </c>
      <c r="G30">
        <v>149</v>
      </c>
      <c r="H30">
        <v>100</v>
      </c>
      <c r="I30">
        <v>42</v>
      </c>
      <c r="J30">
        <v>7</v>
      </c>
      <c r="O30" s="1"/>
      <c r="AA30" s="1"/>
      <c r="AL30" s="1"/>
      <c r="AW30" s="1"/>
      <c r="BH30" s="1"/>
      <c r="BS30" s="1"/>
      <c r="CD30" s="1"/>
    </row>
    <row r="31" spans="1:82" x14ac:dyDescent="0.3">
      <c r="A31">
        <v>28</v>
      </c>
      <c r="B31" t="s">
        <v>116</v>
      </c>
      <c r="C31" s="1" t="s">
        <v>117</v>
      </c>
      <c r="D31" t="s">
        <v>118</v>
      </c>
      <c r="E31" t="s">
        <v>119</v>
      </c>
      <c r="G31">
        <v>149</v>
      </c>
      <c r="H31">
        <v>100</v>
      </c>
      <c r="I31">
        <v>42</v>
      </c>
      <c r="J31">
        <v>7</v>
      </c>
      <c r="O31" s="1"/>
      <c r="AA31" s="1"/>
      <c r="AL31" s="1"/>
      <c r="AW31" s="1"/>
      <c r="BH31" s="1"/>
      <c r="BS31" s="1"/>
      <c r="CD31" s="1"/>
    </row>
    <row r="32" spans="1:82" x14ac:dyDescent="0.3">
      <c r="A32">
        <v>28</v>
      </c>
      <c r="B32" t="s">
        <v>120</v>
      </c>
      <c r="C32" s="1" t="s">
        <v>121</v>
      </c>
      <c r="D32" t="s">
        <v>122</v>
      </c>
      <c r="E32" t="s">
        <v>123</v>
      </c>
      <c r="G32">
        <v>149</v>
      </c>
      <c r="H32">
        <v>100</v>
      </c>
      <c r="I32">
        <v>42</v>
      </c>
      <c r="J32">
        <v>7</v>
      </c>
      <c r="O32" s="1"/>
      <c r="AA32" s="1"/>
      <c r="AL32" s="1"/>
      <c r="AW32" s="1"/>
      <c r="BH32" s="1"/>
      <c r="BS32" s="1"/>
      <c r="CD32" s="1"/>
    </row>
    <row r="33" spans="1:82" x14ac:dyDescent="0.3">
      <c r="A33">
        <v>28</v>
      </c>
      <c r="B33" t="s">
        <v>124</v>
      </c>
      <c r="C33" s="1" t="s">
        <v>125</v>
      </c>
      <c r="D33" t="s">
        <v>126</v>
      </c>
      <c r="E33" t="s">
        <v>127</v>
      </c>
      <c r="G33">
        <v>149</v>
      </c>
      <c r="H33">
        <v>100</v>
      </c>
      <c r="I33">
        <v>42</v>
      </c>
      <c r="J33">
        <v>7</v>
      </c>
      <c r="O33" s="1"/>
      <c r="AA33" s="1"/>
      <c r="AL33" s="1"/>
      <c r="AW33" s="1"/>
      <c r="BH33" s="1"/>
      <c r="BS33" s="1"/>
      <c r="CD33" s="1"/>
    </row>
    <row r="34" spans="1:82" x14ac:dyDescent="0.3">
      <c r="A34">
        <v>28</v>
      </c>
      <c r="B34" t="s">
        <v>128</v>
      </c>
      <c r="C34" s="1" t="s">
        <v>129</v>
      </c>
      <c r="D34" t="s">
        <v>89</v>
      </c>
      <c r="E34" t="s">
        <v>130</v>
      </c>
      <c r="G34">
        <v>149</v>
      </c>
      <c r="H34">
        <v>100</v>
      </c>
      <c r="I34">
        <v>42</v>
      </c>
      <c r="J34">
        <v>7</v>
      </c>
      <c r="O34" s="1"/>
      <c r="AA34" s="1"/>
      <c r="AL34" s="1"/>
      <c r="AW34" s="1"/>
      <c r="BH34" s="1"/>
      <c r="BS34" s="1"/>
      <c r="CD34" s="1"/>
    </row>
    <row r="35" spans="1:82" x14ac:dyDescent="0.3">
      <c r="A35">
        <v>28</v>
      </c>
      <c r="B35" t="s">
        <v>131</v>
      </c>
      <c r="C35" s="1" t="s">
        <v>132</v>
      </c>
      <c r="D35" t="s">
        <v>133</v>
      </c>
      <c r="E35" t="s">
        <v>134</v>
      </c>
      <c r="G35">
        <v>149</v>
      </c>
      <c r="H35">
        <v>100</v>
      </c>
      <c r="I35">
        <v>42</v>
      </c>
      <c r="J35">
        <v>7</v>
      </c>
      <c r="O35" s="1"/>
      <c r="AA35" s="1"/>
      <c r="AL35" s="1"/>
      <c r="AW35" s="1"/>
      <c r="BH35" s="1"/>
      <c r="BS35" s="1"/>
      <c r="CD35" s="1"/>
    </row>
    <row r="36" spans="1:82" x14ac:dyDescent="0.3">
      <c r="A36">
        <v>35</v>
      </c>
      <c r="B36" t="s">
        <v>135</v>
      </c>
      <c r="C36" s="1" t="s">
        <v>136</v>
      </c>
      <c r="D36" t="s">
        <v>28</v>
      </c>
      <c r="E36" t="s">
        <v>137</v>
      </c>
      <c r="G36">
        <v>145</v>
      </c>
      <c r="H36">
        <v>100</v>
      </c>
      <c r="I36">
        <v>27</v>
      </c>
      <c r="J36">
        <v>18</v>
      </c>
      <c r="O36" s="1"/>
      <c r="AA36" s="1"/>
      <c r="AL36" s="1"/>
      <c r="AW36" s="1"/>
      <c r="BH36" s="1"/>
      <c r="BS36" s="1"/>
      <c r="CD36" s="1"/>
    </row>
    <row r="37" spans="1:82" x14ac:dyDescent="0.3">
      <c r="A37">
        <v>35</v>
      </c>
      <c r="B37" t="s">
        <v>138</v>
      </c>
      <c r="C37" s="1" t="s">
        <v>139</v>
      </c>
      <c r="D37" t="s">
        <v>20</v>
      </c>
      <c r="E37" t="s">
        <v>140</v>
      </c>
      <c r="G37">
        <v>145</v>
      </c>
      <c r="H37">
        <v>100</v>
      </c>
      <c r="I37">
        <v>27</v>
      </c>
      <c r="J37">
        <v>18</v>
      </c>
      <c r="O37" s="1"/>
      <c r="AA37" s="1"/>
      <c r="AL37" s="1"/>
      <c r="AW37" s="1"/>
      <c r="BH37" s="1"/>
      <c r="BS37" s="1"/>
      <c r="CD37" s="1"/>
    </row>
    <row r="38" spans="1:82" x14ac:dyDescent="0.3">
      <c r="A38">
        <v>37</v>
      </c>
      <c r="B38" t="s">
        <v>141</v>
      </c>
      <c r="C38" s="1" t="s">
        <v>142</v>
      </c>
      <c r="D38" t="s">
        <v>143</v>
      </c>
      <c r="E38" t="s">
        <v>144</v>
      </c>
      <c r="G38">
        <v>142</v>
      </c>
      <c r="H38">
        <v>42</v>
      </c>
      <c r="I38">
        <v>100</v>
      </c>
      <c r="J38">
        <v>0</v>
      </c>
      <c r="O38" s="1"/>
      <c r="AA38" s="1"/>
      <c r="AL38" s="1"/>
      <c r="AW38" s="1"/>
      <c r="BH38" s="1"/>
      <c r="BS38" s="1"/>
      <c r="CD38" s="1"/>
    </row>
    <row r="39" spans="1:82" x14ac:dyDescent="0.3">
      <c r="A39">
        <v>37</v>
      </c>
      <c r="B39" t="s">
        <v>145</v>
      </c>
      <c r="C39" s="1" t="s">
        <v>146</v>
      </c>
      <c r="D39" t="s">
        <v>147</v>
      </c>
      <c r="E39" t="s">
        <v>148</v>
      </c>
      <c r="G39">
        <v>142</v>
      </c>
      <c r="H39">
        <v>100</v>
      </c>
      <c r="I39">
        <v>42</v>
      </c>
      <c r="J39">
        <v>0</v>
      </c>
      <c r="O39" s="1"/>
      <c r="AA39" s="1"/>
      <c r="AL39" s="1"/>
      <c r="AW39" s="1"/>
      <c r="BH39" s="1"/>
      <c r="BS39" s="1"/>
      <c r="CD39" s="1"/>
    </row>
    <row r="40" spans="1:82" x14ac:dyDescent="0.3">
      <c r="A40">
        <v>37</v>
      </c>
      <c r="B40" t="s">
        <v>149</v>
      </c>
      <c r="C40" s="1" t="s">
        <v>150</v>
      </c>
      <c r="D40" t="s">
        <v>151</v>
      </c>
      <c r="E40" t="s">
        <v>152</v>
      </c>
      <c r="G40">
        <v>142</v>
      </c>
      <c r="H40">
        <v>100</v>
      </c>
      <c r="I40">
        <v>42</v>
      </c>
      <c r="J40">
        <v>0</v>
      </c>
      <c r="O40" s="1"/>
      <c r="AA40" s="1"/>
      <c r="AL40" s="1"/>
      <c r="AW40" s="1"/>
      <c r="BH40" s="1"/>
      <c r="BS40" s="1"/>
      <c r="CD40" s="1"/>
    </row>
    <row r="41" spans="1:82" x14ac:dyDescent="0.3">
      <c r="A41">
        <v>37</v>
      </c>
      <c r="B41" t="s">
        <v>153</v>
      </c>
      <c r="C41" s="1" t="s">
        <v>154</v>
      </c>
      <c r="D41" t="s">
        <v>155</v>
      </c>
      <c r="E41" t="s">
        <v>156</v>
      </c>
      <c r="G41">
        <v>142</v>
      </c>
      <c r="H41">
        <v>100</v>
      </c>
      <c r="I41">
        <v>42</v>
      </c>
      <c r="J41">
        <v>0</v>
      </c>
      <c r="O41" s="1"/>
      <c r="AA41" s="1"/>
      <c r="AL41" s="1"/>
      <c r="AW41" s="1"/>
      <c r="BH41" s="1"/>
      <c r="BS41" s="1"/>
      <c r="CD41" s="1"/>
    </row>
    <row r="42" spans="1:82" x14ac:dyDescent="0.3">
      <c r="A42">
        <v>37</v>
      </c>
      <c r="B42" t="s">
        <v>157</v>
      </c>
      <c r="C42" s="1" t="s">
        <v>158</v>
      </c>
      <c r="D42" t="s">
        <v>81</v>
      </c>
      <c r="E42" t="s">
        <v>159</v>
      </c>
      <c r="G42">
        <v>142</v>
      </c>
      <c r="H42">
        <v>100</v>
      </c>
      <c r="I42">
        <v>42</v>
      </c>
      <c r="J42">
        <v>0</v>
      </c>
      <c r="O42" s="1"/>
      <c r="AA42" s="1"/>
      <c r="AL42" s="1"/>
      <c r="AW42" s="1"/>
      <c r="BH42" s="1"/>
      <c r="BS42" s="1"/>
      <c r="CD42" s="1"/>
    </row>
    <row r="43" spans="1:82" x14ac:dyDescent="0.3">
      <c r="A43">
        <v>42</v>
      </c>
      <c r="B43" t="s">
        <v>160</v>
      </c>
      <c r="C43" s="1" t="s">
        <v>161</v>
      </c>
      <c r="D43" t="s">
        <v>60</v>
      </c>
      <c r="E43" t="s">
        <v>162</v>
      </c>
      <c r="G43">
        <v>134</v>
      </c>
      <c r="H43">
        <v>100</v>
      </c>
      <c r="I43">
        <v>27</v>
      </c>
      <c r="J43">
        <v>7</v>
      </c>
      <c r="O43" s="1"/>
      <c r="AA43" s="1"/>
      <c r="AL43" s="1"/>
      <c r="AW43" s="1"/>
      <c r="BH43" s="1"/>
      <c r="BS43" s="1"/>
      <c r="CD43" s="1"/>
    </row>
    <row r="44" spans="1:82" x14ac:dyDescent="0.3">
      <c r="A44">
        <v>43</v>
      </c>
      <c r="B44" t="s">
        <v>163</v>
      </c>
      <c r="C44" s="1" t="s">
        <v>164</v>
      </c>
      <c r="D44" t="s">
        <v>89</v>
      </c>
      <c r="E44" t="s">
        <v>165</v>
      </c>
      <c r="G44">
        <v>127</v>
      </c>
      <c r="H44">
        <v>100</v>
      </c>
      <c r="I44">
        <v>27</v>
      </c>
      <c r="J44">
        <v>0</v>
      </c>
      <c r="O44" s="1"/>
      <c r="AA44" s="1"/>
      <c r="AL44" s="1"/>
      <c r="AW44" s="1"/>
      <c r="BH44" s="1"/>
      <c r="BS44" s="1"/>
      <c r="CD44" s="1"/>
    </row>
    <row r="45" spans="1:82" x14ac:dyDescent="0.3">
      <c r="A45">
        <v>43</v>
      </c>
      <c r="B45" t="s">
        <v>166</v>
      </c>
      <c r="C45" s="1" t="s">
        <v>167</v>
      </c>
      <c r="D45" t="s">
        <v>168</v>
      </c>
      <c r="E45" t="s">
        <v>169</v>
      </c>
      <c r="G45">
        <v>127</v>
      </c>
      <c r="H45">
        <v>100</v>
      </c>
      <c r="I45">
        <v>27</v>
      </c>
      <c r="J45">
        <v>0</v>
      </c>
      <c r="O45" s="1"/>
      <c r="AA45" s="1"/>
      <c r="AL45" s="1"/>
      <c r="AW45" s="1"/>
      <c r="BH45" s="1"/>
      <c r="BS45" s="1"/>
      <c r="CD45" s="1"/>
    </row>
    <row r="46" spans="1:82" x14ac:dyDescent="0.3">
      <c r="A46">
        <v>43</v>
      </c>
      <c r="B46" t="s">
        <v>170</v>
      </c>
      <c r="C46" s="1" t="s">
        <v>171</v>
      </c>
      <c r="D46" t="s">
        <v>48</v>
      </c>
      <c r="E46" t="s">
        <v>172</v>
      </c>
      <c r="G46">
        <v>127</v>
      </c>
      <c r="H46">
        <v>100</v>
      </c>
      <c r="I46">
        <v>27</v>
      </c>
      <c r="J46">
        <v>0</v>
      </c>
      <c r="O46" s="1"/>
      <c r="AA46" s="1"/>
      <c r="AL46" s="1"/>
      <c r="AW46" s="1"/>
      <c r="BH46" s="1"/>
      <c r="BS46" s="1"/>
      <c r="CD46" s="1"/>
    </row>
    <row r="47" spans="1:82" x14ac:dyDescent="0.3">
      <c r="A47">
        <v>43</v>
      </c>
      <c r="B47" t="s">
        <v>173</v>
      </c>
      <c r="C47" s="1" t="s">
        <v>174</v>
      </c>
      <c r="D47" t="s">
        <v>133</v>
      </c>
      <c r="E47" t="s">
        <v>175</v>
      </c>
      <c r="G47">
        <v>127</v>
      </c>
      <c r="H47">
        <v>100</v>
      </c>
      <c r="I47">
        <v>27</v>
      </c>
      <c r="J47">
        <v>0</v>
      </c>
      <c r="O47" s="1"/>
      <c r="AA47" s="1"/>
      <c r="AL47" s="1"/>
      <c r="AW47" s="1"/>
      <c r="BH47" s="1"/>
      <c r="BS47" s="1"/>
      <c r="CD47" s="1"/>
    </row>
    <row r="48" spans="1:82" x14ac:dyDescent="0.3">
      <c r="A48">
        <v>47</v>
      </c>
      <c r="B48" t="s">
        <v>176</v>
      </c>
      <c r="C48" s="1" t="s">
        <v>177</v>
      </c>
      <c r="D48" t="s">
        <v>178</v>
      </c>
      <c r="E48" t="s">
        <v>179</v>
      </c>
      <c r="G48">
        <v>125</v>
      </c>
      <c r="H48">
        <v>100</v>
      </c>
      <c r="I48">
        <v>0</v>
      </c>
      <c r="J48">
        <v>25</v>
      </c>
      <c r="O48" s="1"/>
      <c r="AA48" s="1"/>
      <c r="AL48" s="1"/>
      <c r="AW48" s="1"/>
      <c r="BH48" s="1"/>
      <c r="BS48" s="1"/>
      <c r="CD48" s="1"/>
    </row>
    <row r="49" spans="1:82" x14ac:dyDescent="0.3">
      <c r="A49">
        <v>47</v>
      </c>
      <c r="B49" t="s">
        <v>180</v>
      </c>
      <c r="C49" s="1" t="s">
        <v>181</v>
      </c>
      <c r="D49" t="s">
        <v>178</v>
      </c>
      <c r="E49" t="s">
        <v>182</v>
      </c>
      <c r="G49">
        <v>125</v>
      </c>
      <c r="H49">
        <v>100</v>
      </c>
      <c r="I49">
        <v>0</v>
      </c>
      <c r="J49">
        <v>25</v>
      </c>
      <c r="O49" s="1"/>
      <c r="AA49" s="1"/>
      <c r="AL49" s="1"/>
      <c r="AW49" s="1"/>
      <c r="BH49" s="1"/>
      <c r="BS49" s="1"/>
      <c r="CD49" s="1"/>
    </row>
    <row r="50" spans="1:82" x14ac:dyDescent="0.3">
      <c r="A50">
        <v>47</v>
      </c>
      <c r="B50" t="s">
        <v>183</v>
      </c>
      <c r="C50" s="1" t="s">
        <v>184</v>
      </c>
      <c r="D50" t="s">
        <v>104</v>
      </c>
      <c r="E50" t="s">
        <v>185</v>
      </c>
      <c r="G50">
        <v>125</v>
      </c>
      <c r="H50">
        <v>100</v>
      </c>
      <c r="I50">
        <v>0</v>
      </c>
      <c r="J50">
        <v>25</v>
      </c>
      <c r="O50" s="1"/>
      <c r="AA50" s="1"/>
      <c r="AL50" s="1"/>
      <c r="AW50" s="1"/>
      <c r="BH50" s="1"/>
      <c r="BS50" s="1"/>
      <c r="CD50" s="1"/>
    </row>
    <row r="51" spans="1:82" x14ac:dyDescent="0.3">
      <c r="A51">
        <v>47</v>
      </c>
      <c r="B51" t="s">
        <v>186</v>
      </c>
      <c r="C51" s="1" t="s">
        <v>187</v>
      </c>
      <c r="D51" t="s">
        <v>81</v>
      </c>
      <c r="E51" t="s">
        <v>188</v>
      </c>
      <c r="G51">
        <v>125</v>
      </c>
      <c r="H51">
        <v>100</v>
      </c>
      <c r="I51">
        <v>0</v>
      </c>
      <c r="J51">
        <v>25</v>
      </c>
      <c r="O51" s="1"/>
      <c r="AA51" s="1"/>
      <c r="AL51" s="1"/>
      <c r="AW51" s="1"/>
      <c r="BH51" s="1"/>
      <c r="BS51" s="1"/>
      <c r="CD51" s="1"/>
    </row>
    <row r="52" spans="1:82" x14ac:dyDescent="0.3">
      <c r="A52">
        <v>47</v>
      </c>
      <c r="B52" t="s">
        <v>189</v>
      </c>
      <c r="C52" s="1" t="s">
        <v>190</v>
      </c>
      <c r="D52" t="s">
        <v>191</v>
      </c>
      <c r="E52" t="s">
        <v>192</v>
      </c>
      <c r="G52">
        <v>125</v>
      </c>
      <c r="H52">
        <v>100</v>
      </c>
      <c r="I52">
        <v>0</v>
      </c>
      <c r="J52">
        <v>25</v>
      </c>
      <c r="O52" s="1"/>
      <c r="AA52" s="1"/>
      <c r="AL52" s="1"/>
      <c r="AW52" s="1"/>
      <c r="BH52" s="1"/>
      <c r="BS52" s="1"/>
      <c r="CD52" s="1"/>
    </row>
    <row r="53" spans="1:82" x14ac:dyDescent="0.3">
      <c r="A53">
        <v>52</v>
      </c>
      <c r="B53" t="s">
        <v>193</v>
      </c>
      <c r="C53" s="1" t="s">
        <v>194</v>
      </c>
      <c r="D53" t="s">
        <v>60</v>
      </c>
      <c r="E53" t="s">
        <v>195</v>
      </c>
      <c r="G53">
        <v>124</v>
      </c>
      <c r="H53">
        <v>24</v>
      </c>
      <c r="I53">
        <v>100</v>
      </c>
      <c r="J53">
        <v>0</v>
      </c>
      <c r="O53" s="1"/>
      <c r="AA53" s="1"/>
      <c r="AL53" s="1"/>
      <c r="AW53" s="1"/>
      <c r="BH53" s="1"/>
      <c r="BS53" s="1"/>
      <c r="CD53" s="1"/>
    </row>
    <row r="54" spans="1:82" x14ac:dyDescent="0.3">
      <c r="A54">
        <v>52</v>
      </c>
      <c r="B54" t="s">
        <v>196</v>
      </c>
      <c r="C54" s="1" t="s">
        <v>197</v>
      </c>
      <c r="D54" t="s">
        <v>20</v>
      </c>
      <c r="E54" t="s">
        <v>198</v>
      </c>
      <c r="G54">
        <v>124</v>
      </c>
      <c r="H54">
        <v>24</v>
      </c>
      <c r="I54">
        <v>100</v>
      </c>
      <c r="J54">
        <v>0</v>
      </c>
      <c r="O54" s="1"/>
      <c r="AA54" s="1"/>
      <c r="AL54" s="1"/>
      <c r="AW54" s="1"/>
      <c r="BH54" s="1"/>
      <c r="BS54" s="1"/>
      <c r="CD54" s="1"/>
    </row>
    <row r="55" spans="1:82" x14ac:dyDescent="0.3">
      <c r="A55">
        <v>54</v>
      </c>
      <c r="B55" t="s">
        <v>199</v>
      </c>
      <c r="C55" s="1" t="s">
        <v>200</v>
      </c>
      <c r="D55" t="s">
        <v>28</v>
      </c>
      <c r="E55" t="s">
        <v>201</v>
      </c>
      <c r="G55">
        <v>118</v>
      </c>
      <c r="H55">
        <v>84</v>
      </c>
      <c r="I55">
        <v>27</v>
      </c>
      <c r="J55">
        <v>7</v>
      </c>
      <c r="O55" s="1"/>
      <c r="AA55" s="1"/>
      <c r="AL55" s="1"/>
      <c r="AW55" s="1"/>
      <c r="BH55" s="1"/>
      <c r="BS55" s="1"/>
      <c r="CD55" s="1"/>
    </row>
    <row r="56" spans="1:82" x14ac:dyDescent="0.3">
      <c r="A56">
        <v>55</v>
      </c>
      <c r="B56" t="s">
        <v>202</v>
      </c>
      <c r="C56" s="1" t="s">
        <v>203</v>
      </c>
      <c r="D56" t="s">
        <v>81</v>
      </c>
      <c r="E56" t="s">
        <v>204</v>
      </c>
      <c r="G56">
        <v>115</v>
      </c>
      <c r="H56">
        <v>24</v>
      </c>
      <c r="I56">
        <v>66</v>
      </c>
      <c r="J56">
        <v>25</v>
      </c>
      <c r="O56" s="1"/>
      <c r="AA56" s="1"/>
      <c r="AL56" s="1"/>
      <c r="AW56" s="1"/>
      <c r="BH56" s="1"/>
      <c r="BS56" s="1"/>
      <c r="CD56" s="1"/>
    </row>
    <row r="57" spans="1:82" x14ac:dyDescent="0.3">
      <c r="A57">
        <v>56</v>
      </c>
      <c r="B57" t="s">
        <v>205</v>
      </c>
      <c r="C57" s="1" t="s">
        <v>206</v>
      </c>
      <c r="D57" t="s">
        <v>89</v>
      </c>
      <c r="E57" t="s">
        <v>207</v>
      </c>
      <c r="G57">
        <v>110</v>
      </c>
      <c r="H57">
        <v>100</v>
      </c>
      <c r="I57">
        <v>10</v>
      </c>
      <c r="J57">
        <v>0</v>
      </c>
      <c r="O57" s="1"/>
      <c r="AA57" s="1"/>
      <c r="AL57" s="1"/>
      <c r="AW57" s="1"/>
      <c r="BH57" s="1"/>
      <c r="BS57" s="1"/>
      <c r="CD57" s="1"/>
    </row>
    <row r="58" spans="1:82" x14ac:dyDescent="0.3">
      <c r="A58">
        <v>57</v>
      </c>
      <c r="B58" t="s">
        <v>208</v>
      </c>
      <c r="C58" s="1" t="s">
        <v>209</v>
      </c>
      <c r="D58" t="s">
        <v>16</v>
      </c>
      <c r="E58" t="s">
        <v>210</v>
      </c>
      <c r="G58">
        <v>108</v>
      </c>
      <c r="H58">
        <v>42</v>
      </c>
      <c r="I58">
        <v>66</v>
      </c>
      <c r="J58">
        <v>0</v>
      </c>
      <c r="O58" s="1"/>
      <c r="AA58" s="1"/>
      <c r="AL58" s="1"/>
      <c r="AW58" s="1"/>
      <c r="BH58" s="1"/>
      <c r="BS58" s="1"/>
      <c r="CD58" s="1"/>
    </row>
    <row r="59" spans="1:82" x14ac:dyDescent="0.3">
      <c r="A59">
        <v>58</v>
      </c>
      <c r="B59" t="s">
        <v>211</v>
      </c>
      <c r="C59" s="1" t="s">
        <v>212</v>
      </c>
      <c r="D59" t="s">
        <v>147</v>
      </c>
      <c r="E59" t="s">
        <v>213</v>
      </c>
      <c r="G59">
        <v>107</v>
      </c>
      <c r="H59">
        <v>100</v>
      </c>
      <c r="I59">
        <v>0</v>
      </c>
      <c r="J59">
        <v>7</v>
      </c>
      <c r="O59" s="1"/>
      <c r="AA59" s="1"/>
      <c r="AL59" s="1"/>
      <c r="AW59" s="1"/>
      <c r="BH59" s="1"/>
      <c r="BS59" s="1"/>
      <c r="CD59" s="1"/>
    </row>
    <row r="60" spans="1:82" x14ac:dyDescent="0.3">
      <c r="A60">
        <v>58</v>
      </c>
      <c r="B60" t="s">
        <v>214</v>
      </c>
      <c r="C60" s="1" t="s">
        <v>215</v>
      </c>
      <c r="D60" t="s">
        <v>216</v>
      </c>
      <c r="E60" t="s">
        <v>217</v>
      </c>
      <c r="G60">
        <v>107</v>
      </c>
      <c r="H60">
        <v>100</v>
      </c>
      <c r="I60">
        <v>0</v>
      </c>
      <c r="J60">
        <v>7</v>
      </c>
      <c r="O60" s="1"/>
      <c r="AA60" s="1"/>
      <c r="AL60" s="1"/>
      <c r="AW60" s="1"/>
      <c r="BH60" s="1"/>
      <c r="BS60" s="1"/>
      <c r="CD60" s="1"/>
    </row>
    <row r="61" spans="1:82" x14ac:dyDescent="0.3">
      <c r="A61">
        <v>58</v>
      </c>
      <c r="B61" t="s">
        <v>218</v>
      </c>
      <c r="C61" s="1" t="s">
        <v>219</v>
      </c>
      <c r="D61" t="s">
        <v>16</v>
      </c>
      <c r="E61" t="s">
        <v>220</v>
      </c>
      <c r="G61">
        <v>107</v>
      </c>
      <c r="H61">
        <v>100</v>
      </c>
      <c r="I61">
        <v>0</v>
      </c>
      <c r="J61">
        <v>7</v>
      </c>
      <c r="O61" s="1"/>
      <c r="AA61" s="1"/>
      <c r="AL61" s="1"/>
      <c r="AW61" s="1"/>
      <c r="BH61" s="1"/>
      <c r="BS61" s="1"/>
      <c r="CD61" s="1"/>
    </row>
    <row r="62" spans="1:82" x14ac:dyDescent="0.3">
      <c r="A62">
        <v>58</v>
      </c>
      <c r="B62" t="s">
        <v>221</v>
      </c>
      <c r="C62" s="1" t="s">
        <v>222</v>
      </c>
      <c r="D62" t="s">
        <v>223</v>
      </c>
      <c r="E62" t="s">
        <v>224</v>
      </c>
      <c r="G62">
        <v>107</v>
      </c>
      <c r="H62">
        <v>100</v>
      </c>
      <c r="I62">
        <v>0</v>
      </c>
      <c r="J62">
        <v>7</v>
      </c>
      <c r="O62" s="1"/>
      <c r="AA62" s="1"/>
      <c r="AL62" s="1"/>
      <c r="AW62" s="1"/>
      <c r="BH62" s="1"/>
      <c r="BS62" s="1"/>
      <c r="CD62" s="1"/>
    </row>
    <row r="63" spans="1:82" x14ac:dyDescent="0.3">
      <c r="A63">
        <v>58</v>
      </c>
      <c r="B63" t="s">
        <v>225</v>
      </c>
      <c r="C63" s="1" t="s">
        <v>226</v>
      </c>
      <c r="E63" t="s">
        <v>227</v>
      </c>
      <c r="G63">
        <v>107</v>
      </c>
      <c r="H63">
        <v>100</v>
      </c>
      <c r="I63">
        <v>0</v>
      </c>
      <c r="J63">
        <v>7</v>
      </c>
      <c r="O63" s="1"/>
      <c r="AA63" s="1"/>
      <c r="AL63" s="1"/>
      <c r="AW63" s="1"/>
      <c r="BH63" s="1"/>
      <c r="BS63" s="1"/>
      <c r="CD63" s="1"/>
    </row>
    <row r="64" spans="1:82" x14ac:dyDescent="0.3">
      <c r="A64">
        <v>58</v>
      </c>
      <c r="B64" t="s">
        <v>228</v>
      </c>
      <c r="C64" s="1" t="s">
        <v>229</v>
      </c>
      <c r="D64" t="s">
        <v>126</v>
      </c>
      <c r="E64" t="s">
        <v>230</v>
      </c>
      <c r="G64">
        <v>107</v>
      </c>
      <c r="H64">
        <v>100</v>
      </c>
      <c r="I64">
        <v>0</v>
      </c>
      <c r="J64">
        <v>7</v>
      </c>
      <c r="O64" s="1"/>
      <c r="AA64" s="1"/>
      <c r="AL64" s="1"/>
      <c r="AW64" s="1"/>
      <c r="BH64" s="1"/>
      <c r="BS64" s="1"/>
      <c r="CD64" s="1"/>
    </row>
    <row r="65" spans="1:82" x14ac:dyDescent="0.3">
      <c r="A65">
        <v>58</v>
      </c>
      <c r="B65" t="s">
        <v>231</v>
      </c>
      <c r="C65" s="1" t="s">
        <v>232</v>
      </c>
      <c r="D65" t="s">
        <v>20</v>
      </c>
      <c r="E65" t="s">
        <v>233</v>
      </c>
      <c r="G65">
        <v>107</v>
      </c>
      <c r="H65">
        <v>100</v>
      </c>
      <c r="I65">
        <v>0</v>
      </c>
      <c r="J65">
        <v>7</v>
      </c>
      <c r="O65" s="1"/>
      <c r="AA65" s="1"/>
      <c r="AL65" s="1"/>
      <c r="AW65" s="1"/>
      <c r="BH65" s="1"/>
      <c r="BS65" s="1"/>
      <c r="CD65" s="1"/>
    </row>
    <row r="66" spans="1:82" x14ac:dyDescent="0.3">
      <c r="A66">
        <v>65</v>
      </c>
      <c r="B66" t="s">
        <v>234</v>
      </c>
      <c r="C66" s="1" t="s">
        <v>235</v>
      </c>
      <c r="D66" t="s">
        <v>20</v>
      </c>
      <c r="E66" t="s">
        <v>236</v>
      </c>
      <c r="G66">
        <v>100</v>
      </c>
      <c r="H66">
        <v>100</v>
      </c>
      <c r="I66">
        <v>0</v>
      </c>
      <c r="J66">
        <v>0</v>
      </c>
      <c r="O66" s="1"/>
      <c r="AA66" s="1"/>
      <c r="AL66" s="1"/>
      <c r="AW66" s="1"/>
      <c r="BH66" s="1"/>
      <c r="BS66" s="1"/>
      <c r="CD66" s="1"/>
    </row>
    <row r="67" spans="1:82" x14ac:dyDescent="0.3">
      <c r="A67">
        <v>65</v>
      </c>
      <c r="B67" t="s">
        <v>237</v>
      </c>
      <c r="C67" s="1" t="s">
        <v>238</v>
      </c>
      <c r="D67" t="s">
        <v>216</v>
      </c>
      <c r="E67" t="s">
        <v>239</v>
      </c>
      <c r="G67">
        <v>100</v>
      </c>
      <c r="H67">
        <v>100</v>
      </c>
      <c r="I67">
        <v>0</v>
      </c>
      <c r="J67">
        <v>0</v>
      </c>
      <c r="O67" s="1"/>
      <c r="AA67" s="1"/>
      <c r="AL67" s="1"/>
      <c r="AW67" s="1"/>
      <c r="BH67" s="1"/>
      <c r="BS67" s="1"/>
      <c r="CD67" s="1"/>
    </row>
    <row r="68" spans="1:82" x14ac:dyDescent="0.3">
      <c r="A68">
        <v>65</v>
      </c>
      <c r="B68" t="s">
        <v>240</v>
      </c>
      <c r="C68" s="1" t="s">
        <v>241</v>
      </c>
      <c r="D68" t="s">
        <v>108</v>
      </c>
      <c r="E68" t="s">
        <v>242</v>
      </c>
      <c r="G68">
        <v>100</v>
      </c>
      <c r="H68">
        <v>100</v>
      </c>
      <c r="I68">
        <v>0</v>
      </c>
      <c r="J68">
        <v>0</v>
      </c>
      <c r="O68" s="1"/>
      <c r="AA68" s="1"/>
      <c r="AL68" s="1"/>
      <c r="AW68" s="1"/>
      <c r="BH68" s="1"/>
      <c r="BS68" s="1"/>
      <c r="CD68" s="1"/>
    </row>
    <row r="69" spans="1:82" x14ac:dyDescent="0.3">
      <c r="A69">
        <v>65</v>
      </c>
      <c r="B69" t="s">
        <v>243</v>
      </c>
      <c r="C69" s="1" t="s">
        <v>244</v>
      </c>
      <c r="D69" t="s">
        <v>191</v>
      </c>
      <c r="E69" t="s">
        <v>245</v>
      </c>
      <c r="G69">
        <v>100</v>
      </c>
      <c r="H69">
        <v>100</v>
      </c>
      <c r="I69">
        <v>0</v>
      </c>
      <c r="J69">
        <v>0</v>
      </c>
      <c r="O69" s="1"/>
      <c r="AA69" s="1"/>
      <c r="AL69" s="1"/>
      <c r="AW69" s="1"/>
      <c r="BH69" s="1"/>
      <c r="BS69" s="1"/>
      <c r="CD69" s="1"/>
    </row>
    <row r="70" spans="1:82" x14ac:dyDescent="0.3">
      <c r="A70">
        <v>65</v>
      </c>
      <c r="B70" t="s">
        <v>246</v>
      </c>
      <c r="C70" s="1" t="s">
        <v>247</v>
      </c>
      <c r="D70" t="s">
        <v>178</v>
      </c>
      <c r="E70" t="s">
        <v>248</v>
      </c>
      <c r="G70">
        <v>100</v>
      </c>
      <c r="H70">
        <v>100</v>
      </c>
      <c r="I70">
        <v>0</v>
      </c>
      <c r="J70">
        <v>0</v>
      </c>
      <c r="O70" s="1"/>
      <c r="AA70" s="1"/>
      <c r="AL70" s="1"/>
      <c r="AW70" s="1"/>
      <c r="BH70" s="1"/>
      <c r="BS70" s="1"/>
      <c r="CD70" s="1"/>
    </row>
    <row r="71" spans="1:82" x14ac:dyDescent="0.3">
      <c r="A71">
        <v>65</v>
      </c>
      <c r="B71" t="s">
        <v>249</v>
      </c>
      <c r="C71" s="1" t="s">
        <v>250</v>
      </c>
      <c r="D71" t="s">
        <v>191</v>
      </c>
      <c r="E71" t="s">
        <v>251</v>
      </c>
      <c r="G71">
        <v>100</v>
      </c>
      <c r="H71">
        <v>100</v>
      </c>
      <c r="I71">
        <v>0</v>
      </c>
      <c r="J71">
        <v>0</v>
      </c>
      <c r="O71" s="1"/>
      <c r="AA71" s="1"/>
      <c r="AL71" s="1"/>
      <c r="AW71" s="1"/>
      <c r="BH71" s="1"/>
      <c r="BS71" s="1"/>
      <c r="CD71" s="1"/>
    </row>
    <row r="72" spans="1:82" x14ac:dyDescent="0.3">
      <c r="A72">
        <v>65</v>
      </c>
      <c r="B72" t="s">
        <v>252</v>
      </c>
      <c r="C72" s="1" t="s">
        <v>253</v>
      </c>
      <c r="D72" t="s">
        <v>254</v>
      </c>
      <c r="E72" t="s">
        <v>255</v>
      </c>
      <c r="F72" t="s">
        <v>252</v>
      </c>
      <c r="G72">
        <v>100</v>
      </c>
      <c r="H72">
        <v>100</v>
      </c>
      <c r="I72">
        <v>0</v>
      </c>
      <c r="J72">
        <v>0</v>
      </c>
      <c r="O72" s="1"/>
      <c r="AA72" s="1"/>
      <c r="AL72" s="1"/>
      <c r="AW72" s="1"/>
      <c r="BH72" s="1"/>
      <c r="BS72" s="1"/>
      <c r="CD72" s="1"/>
    </row>
    <row r="73" spans="1:82" x14ac:dyDescent="0.3">
      <c r="A73">
        <v>65</v>
      </c>
      <c r="B73" t="s">
        <v>256</v>
      </c>
      <c r="C73" s="1" t="s">
        <v>257</v>
      </c>
      <c r="D73" t="s">
        <v>258</v>
      </c>
      <c r="E73" t="s">
        <v>259</v>
      </c>
      <c r="G73">
        <v>100</v>
      </c>
      <c r="H73">
        <v>100</v>
      </c>
      <c r="I73">
        <v>0</v>
      </c>
      <c r="J73">
        <v>0</v>
      </c>
      <c r="O73" s="1"/>
      <c r="AA73" s="1"/>
      <c r="AL73" s="1"/>
      <c r="AW73" s="1"/>
      <c r="BH73" s="1"/>
      <c r="BS73" s="1"/>
      <c r="CD73" s="1"/>
    </row>
    <row r="74" spans="1:82" x14ac:dyDescent="0.3">
      <c r="A74">
        <v>65</v>
      </c>
      <c r="B74" t="s">
        <v>260</v>
      </c>
      <c r="C74" s="1" t="s">
        <v>261</v>
      </c>
      <c r="D74" t="s">
        <v>96</v>
      </c>
      <c r="E74" t="s">
        <v>262</v>
      </c>
      <c r="G74">
        <v>100</v>
      </c>
      <c r="H74">
        <v>100</v>
      </c>
      <c r="I74">
        <v>0</v>
      </c>
      <c r="J74">
        <v>0</v>
      </c>
      <c r="O74" s="1"/>
      <c r="AA74" s="1"/>
      <c r="AL74" s="1"/>
      <c r="AW74" s="1"/>
      <c r="BH74" s="1"/>
      <c r="BS74" s="1"/>
      <c r="CD74" s="1"/>
    </row>
    <row r="75" spans="1:82" x14ac:dyDescent="0.3">
      <c r="A75">
        <v>65</v>
      </c>
      <c r="B75" t="s">
        <v>263</v>
      </c>
      <c r="C75" s="1" t="s">
        <v>264</v>
      </c>
      <c r="D75" t="s">
        <v>147</v>
      </c>
      <c r="E75" t="s">
        <v>265</v>
      </c>
      <c r="G75">
        <v>100</v>
      </c>
      <c r="H75">
        <v>100</v>
      </c>
      <c r="I75">
        <v>0</v>
      </c>
      <c r="J75">
        <v>0</v>
      </c>
      <c r="O75" s="1"/>
      <c r="AA75" s="1"/>
      <c r="AL75" s="1"/>
      <c r="AW75" s="1"/>
      <c r="BH75" s="1"/>
      <c r="BS75" s="1"/>
      <c r="CD75" s="1"/>
    </row>
    <row r="76" spans="1:82" x14ac:dyDescent="0.3">
      <c r="A76">
        <v>65</v>
      </c>
      <c r="B76" t="s">
        <v>266</v>
      </c>
      <c r="C76" s="1" t="s">
        <v>267</v>
      </c>
      <c r="D76" t="s">
        <v>178</v>
      </c>
      <c r="E76" t="s">
        <v>268</v>
      </c>
      <c r="G76">
        <v>100</v>
      </c>
      <c r="H76">
        <v>100</v>
      </c>
      <c r="I76">
        <v>0</v>
      </c>
      <c r="J76">
        <v>0</v>
      </c>
      <c r="O76" s="1"/>
      <c r="AA76" s="1"/>
      <c r="AL76" s="1"/>
      <c r="AW76" s="1"/>
      <c r="BH76" s="1"/>
      <c r="BS76" s="1"/>
      <c r="CD76" s="1"/>
    </row>
    <row r="77" spans="1:82" x14ac:dyDescent="0.3">
      <c r="A77">
        <v>65</v>
      </c>
      <c r="B77" t="s">
        <v>269</v>
      </c>
      <c r="C77" s="1" t="s">
        <v>270</v>
      </c>
      <c r="D77" t="s">
        <v>81</v>
      </c>
      <c r="E77" t="s">
        <v>271</v>
      </c>
      <c r="G77">
        <v>100</v>
      </c>
      <c r="H77">
        <v>100</v>
      </c>
      <c r="I77">
        <v>0</v>
      </c>
      <c r="J77">
        <v>0</v>
      </c>
      <c r="O77" s="1"/>
      <c r="AA77" s="1"/>
      <c r="AL77" s="1"/>
      <c r="AW77" s="1"/>
      <c r="BH77" s="1"/>
      <c r="BS77" s="1"/>
      <c r="CD77" s="1"/>
    </row>
    <row r="78" spans="1:82" x14ac:dyDescent="0.3">
      <c r="A78">
        <v>65</v>
      </c>
      <c r="B78" t="s">
        <v>272</v>
      </c>
      <c r="C78" s="1" t="s">
        <v>273</v>
      </c>
      <c r="E78" t="s">
        <v>272</v>
      </c>
      <c r="G78">
        <v>100</v>
      </c>
      <c r="H78">
        <v>0</v>
      </c>
      <c r="I78">
        <v>0</v>
      </c>
      <c r="J78">
        <v>100</v>
      </c>
      <c r="O78" s="1"/>
      <c r="AA78" s="1"/>
      <c r="AL78" s="1"/>
      <c r="AW78" s="1"/>
      <c r="BH78" s="1"/>
      <c r="BS78" s="1"/>
      <c r="CD78" s="1"/>
    </row>
    <row r="79" spans="1:82" x14ac:dyDescent="0.3">
      <c r="A79">
        <v>78</v>
      </c>
      <c r="B79" t="s">
        <v>274</v>
      </c>
      <c r="C79" s="1" t="s">
        <v>275</v>
      </c>
      <c r="D79" t="s">
        <v>60</v>
      </c>
      <c r="E79" t="s">
        <v>276</v>
      </c>
      <c r="G79">
        <v>90</v>
      </c>
      <c r="H79">
        <v>24</v>
      </c>
      <c r="I79">
        <v>66</v>
      </c>
      <c r="J79">
        <v>0</v>
      </c>
      <c r="O79" s="1"/>
      <c r="AA79" s="1"/>
      <c r="AL79" s="1"/>
      <c r="AW79" s="1"/>
      <c r="BH79" s="1"/>
      <c r="BS79" s="1"/>
      <c r="CD79" s="1"/>
    </row>
    <row r="80" spans="1:82" x14ac:dyDescent="0.3">
      <c r="A80">
        <v>79</v>
      </c>
      <c r="B80" t="s">
        <v>277</v>
      </c>
      <c r="C80" s="1" t="s">
        <v>278</v>
      </c>
      <c r="D80" t="s">
        <v>60</v>
      </c>
      <c r="E80" t="s">
        <v>279</v>
      </c>
      <c r="G80">
        <v>82</v>
      </c>
      <c r="H80">
        <v>33</v>
      </c>
      <c r="I80">
        <v>42</v>
      </c>
      <c r="J80">
        <v>7</v>
      </c>
      <c r="O80" s="1"/>
      <c r="AA80" s="1"/>
      <c r="AL80" s="1"/>
      <c r="AW80" s="1"/>
      <c r="BH80" s="1"/>
      <c r="BS80" s="1"/>
      <c r="CD80" s="1"/>
    </row>
    <row r="81" spans="1:82" x14ac:dyDescent="0.3">
      <c r="A81">
        <v>80</v>
      </c>
      <c r="B81" t="s">
        <v>280</v>
      </c>
      <c r="C81" s="1" t="s">
        <v>281</v>
      </c>
      <c r="D81" t="s">
        <v>282</v>
      </c>
      <c r="E81" t="s">
        <v>283</v>
      </c>
      <c r="G81">
        <v>75</v>
      </c>
      <c r="H81">
        <v>68</v>
      </c>
      <c r="I81">
        <v>0</v>
      </c>
      <c r="J81">
        <v>7</v>
      </c>
      <c r="O81" s="1"/>
      <c r="AA81" s="1"/>
      <c r="AL81" s="1"/>
      <c r="AW81" s="1"/>
      <c r="BH81" s="1"/>
      <c r="BS81" s="1"/>
      <c r="CD81" s="1"/>
    </row>
    <row r="82" spans="1:82" x14ac:dyDescent="0.3">
      <c r="A82">
        <v>81</v>
      </c>
      <c r="B82" t="s">
        <v>284</v>
      </c>
      <c r="C82" s="1" t="s">
        <v>285</v>
      </c>
      <c r="D82" t="s">
        <v>100</v>
      </c>
      <c r="E82" t="s">
        <v>286</v>
      </c>
      <c r="G82">
        <v>66</v>
      </c>
      <c r="H82">
        <v>24</v>
      </c>
      <c r="I82">
        <v>42</v>
      </c>
      <c r="J82">
        <v>0</v>
      </c>
      <c r="O82" s="1"/>
      <c r="AA82" s="1"/>
      <c r="AL82" s="1"/>
      <c r="AW82" s="1"/>
      <c r="BH82" s="1"/>
      <c r="BS82" s="1"/>
      <c r="CD82" s="1"/>
    </row>
    <row r="83" spans="1:82" x14ac:dyDescent="0.3">
      <c r="A83">
        <v>81</v>
      </c>
      <c r="B83" t="s">
        <v>287</v>
      </c>
      <c r="C83" s="1" t="s">
        <v>288</v>
      </c>
      <c r="D83" t="s">
        <v>178</v>
      </c>
      <c r="E83" t="s">
        <v>289</v>
      </c>
      <c r="G83">
        <v>66</v>
      </c>
      <c r="H83">
        <v>59</v>
      </c>
      <c r="I83">
        <v>0</v>
      </c>
      <c r="J83">
        <v>7</v>
      </c>
      <c r="O83" s="1"/>
      <c r="AA83" s="1"/>
      <c r="AL83" s="1"/>
      <c r="AW83" s="1"/>
      <c r="BH83" s="1"/>
      <c r="BS83" s="1"/>
      <c r="CD83" s="1"/>
    </row>
    <row r="84" spans="1:82" x14ac:dyDescent="0.3">
      <c r="A84">
        <v>83</v>
      </c>
      <c r="B84" t="s">
        <v>290</v>
      </c>
      <c r="C84" s="1" t="s">
        <v>291</v>
      </c>
      <c r="D84" t="s">
        <v>81</v>
      </c>
      <c r="E84" t="s">
        <v>292</v>
      </c>
      <c r="G84">
        <v>60</v>
      </c>
      <c r="H84">
        <v>42</v>
      </c>
      <c r="I84">
        <v>0</v>
      </c>
      <c r="J84">
        <v>18</v>
      </c>
      <c r="O84" s="1"/>
      <c r="AA84" s="1"/>
      <c r="AL84" s="1"/>
      <c r="AW84" s="1"/>
      <c r="BH84" s="1"/>
      <c r="BS84" s="1"/>
      <c r="CD84" s="1"/>
    </row>
    <row r="85" spans="1:82" x14ac:dyDescent="0.3">
      <c r="A85">
        <v>84</v>
      </c>
      <c r="B85" t="s">
        <v>293</v>
      </c>
      <c r="C85" s="1" t="s">
        <v>294</v>
      </c>
      <c r="D85" t="s">
        <v>216</v>
      </c>
      <c r="E85" t="s">
        <v>295</v>
      </c>
      <c r="G85">
        <v>58</v>
      </c>
      <c r="H85">
        <v>42</v>
      </c>
      <c r="I85">
        <v>0</v>
      </c>
      <c r="J85">
        <v>16</v>
      </c>
      <c r="O85" s="1"/>
      <c r="AA85" s="1"/>
      <c r="AL85" s="1"/>
      <c r="AW85" s="1"/>
      <c r="BH85" s="1"/>
      <c r="BS85" s="1"/>
      <c r="CD85" s="1"/>
    </row>
    <row r="86" spans="1:82" x14ac:dyDescent="0.3">
      <c r="A86">
        <v>84</v>
      </c>
      <c r="B86" t="s">
        <v>296</v>
      </c>
      <c r="C86" s="1" t="s">
        <v>297</v>
      </c>
      <c r="D86" t="s">
        <v>178</v>
      </c>
      <c r="E86" t="s">
        <v>298</v>
      </c>
      <c r="G86">
        <v>58</v>
      </c>
      <c r="H86">
        <v>42</v>
      </c>
      <c r="I86">
        <v>0</v>
      </c>
      <c r="J86">
        <v>16</v>
      </c>
      <c r="O86" s="1"/>
      <c r="AA86" s="1"/>
      <c r="AL86" s="1"/>
      <c r="AW86" s="1"/>
      <c r="BH86" s="1"/>
      <c r="BS86" s="1"/>
      <c r="CD86" s="1"/>
    </row>
    <row r="87" spans="1:82" x14ac:dyDescent="0.3">
      <c r="A87">
        <v>86</v>
      </c>
      <c r="B87" t="s">
        <v>299</v>
      </c>
      <c r="C87" s="1" t="s">
        <v>300</v>
      </c>
      <c r="D87" t="s">
        <v>301</v>
      </c>
      <c r="E87" t="s">
        <v>302</v>
      </c>
      <c r="G87">
        <v>51</v>
      </c>
      <c r="H87">
        <v>24</v>
      </c>
      <c r="I87">
        <v>27</v>
      </c>
      <c r="J87">
        <v>0</v>
      </c>
      <c r="O87" s="1"/>
      <c r="AA87" s="1"/>
      <c r="AL87" s="1"/>
      <c r="AW87" s="1"/>
      <c r="BH87" s="1"/>
      <c r="BS87" s="1"/>
      <c r="CD87" s="1"/>
    </row>
    <row r="88" spans="1:82" x14ac:dyDescent="0.3">
      <c r="A88">
        <v>86</v>
      </c>
      <c r="B88" t="s">
        <v>303</v>
      </c>
      <c r="C88" s="1" t="s">
        <v>304</v>
      </c>
      <c r="D88" t="s">
        <v>305</v>
      </c>
      <c r="E88" t="s">
        <v>306</v>
      </c>
      <c r="G88">
        <v>51</v>
      </c>
      <c r="H88">
        <v>24</v>
      </c>
      <c r="I88">
        <v>27</v>
      </c>
      <c r="J88">
        <v>0</v>
      </c>
      <c r="O88" s="1"/>
      <c r="AA88" s="1"/>
      <c r="AL88" s="1"/>
      <c r="AW88" s="1"/>
      <c r="BH88" s="1"/>
      <c r="BS88" s="1"/>
      <c r="CD88" s="1"/>
    </row>
    <row r="89" spans="1:82" x14ac:dyDescent="0.3">
      <c r="A89">
        <v>88</v>
      </c>
      <c r="B89" t="s">
        <v>307</v>
      </c>
      <c r="C89" s="1" t="s">
        <v>308</v>
      </c>
      <c r="D89" t="s">
        <v>52</v>
      </c>
      <c r="E89" t="s">
        <v>309</v>
      </c>
      <c r="G89">
        <v>49</v>
      </c>
      <c r="H89">
        <v>42</v>
      </c>
      <c r="I89">
        <v>0</v>
      </c>
      <c r="J89">
        <v>7</v>
      </c>
      <c r="O89" s="1"/>
      <c r="AA89" s="1"/>
      <c r="AL89" s="1"/>
      <c r="AW89" s="1"/>
      <c r="BH89" s="1"/>
      <c r="BS89" s="1"/>
      <c r="CD89" s="1"/>
    </row>
    <row r="90" spans="1:82" x14ac:dyDescent="0.3">
      <c r="A90">
        <v>88</v>
      </c>
      <c r="B90" t="s">
        <v>310</v>
      </c>
      <c r="C90" s="1" t="s">
        <v>311</v>
      </c>
      <c r="D90" t="s">
        <v>89</v>
      </c>
      <c r="E90" t="s">
        <v>312</v>
      </c>
      <c r="G90">
        <v>49</v>
      </c>
      <c r="H90">
        <v>42</v>
      </c>
      <c r="I90">
        <v>0</v>
      </c>
      <c r="J90">
        <v>7</v>
      </c>
      <c r="O90" s="1"/>
      <c r="AA90" s="1"/>
      <c r="AL90" s="1"/>
      <c r="AW90" s="1"/>
      <c r="BH90" s="1"/>
      <c r="BS90" s="1"/>
      <c r="CD90" s="1"/>
    </row>
    <row r="91" spans="1:82" x14ac:dyDescent="0.3">
      <c r="A91">
        <v>88</v>
      </c>
      <c r="B91" t="s">
        <v>313</v>
      </c>
      <c r="C91" s="1" t="s">
        <v>314</v>
      </c>
      <c r="D91" t="s">
        <v>315</v>
      </c>
      <c r="E91" t="s">
        <v>316</v>
      </c>
      <c r="G91">
        <v>49</v>
      </c>
      <c r="H91">
        <v>42</v>
      </c>
      <c r="I91">
        <v>0</v>
      </c>
      <c r="J91">
        <v>7</v>
      </c>
      <c r="O91" s="1"/>
      <c r="AA91" s="1"/>
      <c r="AL91" s="1"/>
      <c r="AW91" s="1"/>
      <c r="BH91" s="1"/>
      <c r="BS91" s="1"/>
      <c r="CD91" s="1"/>
    </row>
    <row r="92" spans="1:82" x14ac:dyDescent="0.3">
      <c r="A92">
        <v>88</v>
      </c>
      <c r="B92" t="s">
        <v>317</v>
      </c>
      <c r="C92" s="1" t="s">
        <v>318</v>
      </c>
      <c r="D92" t="s">
        <v>178</v>
      </c>
      <c r="E92" t="s">
        <v>319</v>
      </c>
      <c r="G92">
        <v>49</v>
      </c>
      <c r="H92">
        <v>42</v>
      </c>
      <c r="I92">
        <v>0</v>
      </c>
      <c r="J92">
        <v>7</v>
      </c>
      <c r="O92" s="1"/>
      <c r="AA92" s="1"/>
      <c r="AL92" s="1"/>
      <c r="AW92" s="1"/>
      <c r="BH92" s="1"/>
      <c r="BS92" s="1"/>
      <c r="CD92" s="1"/>
    </row>
    <row r="93" spans="1:82" x14ac:dyDescent="0.3">
      <c r="A93">
        <v>88</v>
      </c>
      <c r="B93" t="s">
        <v>320</v>
      </c>
      <c r="C93" s="1" t="s">
        <v>321</v>
      </c>
      <c r="D93" t="s">
        <v>52</v>
      </c>
      <c r="E93" t="s">
        <v>322</v>
      </c>
      <c r="G93">
        <v>49</v>
      </c>
      <c r="H93">
        <v>42</v>
      </c>
      <c r="I93">
        <v>0</v>
      </c>
      <c r="J93">
        <v>7</v>
      </c>
      <c r="O93" s="1"/>
      <c r="AA93" s="1"/>
      <c r="AL93" s="1"/>
      <c r="AW93" s="1"/>
      <c r="BH93" s="1"/>
      <c r="BS93" s="1"/>
      <c r="CD93" s="1"/>
    </row>
    <row r="94" spans="1:82" x14ac:dyDescent="0.3">
      <c r="A94">
        <v>88</v>
      </c>
      <c r="B94" t="s">
        <v>323</v>
      </c>
      <c r="C94" s="1" t="s">
        <v>324</v>
      </c>
      <c r="D94" t="s">
        <v>178</v>
      </c>
      <c r="E94" t="s">
        <v>325</v>
      </c>
      <c r="G94">
        <v>49</v>
      </c>
      <c r="H94">
        <v>42</v>
      </c>
      <c r="I94">
        <v>0</v>
      </c>
      <c r="J94">
        <v>7</v>
      </c>
      <c r="O94" s="1"/>
      <c r="AA94" s="1"/>
      <c r="AL94" s="1"/>
      <c r="AW94" s="1"/>
      <c r="BH94" s="1"/>
      <c r="BS94" s="1"/>
      <c r="CD94" s="1"/>
    </row>
    <row r="95" spans="1:82" x14ac:dyDescent="0.3">
      <c r="A95">
        <v>88</v>
      </c>
      <c r="B95" t="s">
        <v>326</v>
      </c>
      <c r="C95" s="1" t="s">
        <v>327</v>
      </c>
      <c r="D95" t="s">
        <v>223</v>
      </c>
      <c r="E95" t="s">
        <v>328</v>
      </c>
      <c r="G95">
        <v>49</v>
      </c>
      <c r="H95">
        <v>42</v>
      </c>
      <c r="I95">
        <v>0</v>
      </c>
      <c r="J95">
        <v>7</v>
      </c>
      <c r="O95" s="1"/>
      <c r="AA95" s="1"/>
      <c r="AL95" s="1"/>
      <c r="AW95" s="1"/>
      <c r="BH95" s="1"/>
      <c r="BS95" s="1"/>
      <c r="CD95" s="1"/>
    </row>
    <row r="96" spans="1:82" x14ac:dyDescent="0.3">
      <c r="A96">
        <v>88</v>
      </c>
      <c r="B96" t="s">
        <v>329</v>
      </c>
      <c r="C96" s="1" t="s">
        <v>330</v>
      </c>
      <c r="D96" t="s">
        <v>216</v>
      </c>
      <c r="E96" t="s">
        <v>331</v>
      </c>
      <c r="G96">
        <v>49</v>
      </c>
      <c r="H96">
        <v>42</v>
      </c>
      <c r="I96">
        <v>0</v>
      </c>
      <c r="J96">
        <v>7</v>
      </c>
      <c r="O96" s="1"/>
      <c r="AA96" s="1"/>
      <c r="AL96" s="1"/>
      <c r="AW96" s="1"/>
      <c r="BH96" s="1"/>
      <c r="BS96" s="1"/>
      <c r="CD96" s="1"/>
    </row>
    <row r="97" spans="1:82" x14ac:dyDescent="0.3">
      <c r="A97">
        <v>96</v>
      </c>
      <c r="B97" t="s">
        <v>332</v>
      </c>
      <c r="C97" s="1" t="s">
        <v>333</v>
      </c>
      <c r="D97" t="s">
        <v>20</v>
      </c>
      <c r="E97" t="s">
        <v>334</v>
      </c>
      <c r="G97">
        <v>46</v>
      </c>
      <c r="H97">
        <v>12</v>
      </c>
      <c r="I97">
        <v>27</v>
      </c>
      <c r="J97">
        <v>7</v>
      </c>
      <c r="O97" s="1"/>
      <c r="AA97" s="1"/>
      <c r="AL97" s="1"/>
      <c r="AW97" s="1"/>
      <c r="BH97" s="1"/>
      <c r="BS97" s="1"/>
      <c r="CD97" s="1"/>
    </row>
    <row r="98" spans="1:82" x14ac:dyDescent="0.3">
      <c r="A98">
        <v>97</v>
      </c>
      <c r="B98" t="s">
        <v>335</v>
      </c>
      <c r="C98" s="1" t="s">
        <v>336</v>
      </c>
      <c r="D98" t="s">
        <v>16</v>
      </c>
      <c r="E98" t="s">
        <v>337</v>
      </c>
      <c r="G98">
        <v>45</v>
      </c>
      <c r="H98">
        <v>18</v>
      </c>
      <c r="I98">
        <v>27</v>
      </c>
      <c r="J98">
        <v>0</v>
      </c>
      <c r="O98" s="1"/>
      <c r="AA98" s="1"/>
      <c r="AL98" s="1"/>
      <c r="AW98" s="1"/>
      <c r="BH98" s="1"/>
      <c r="BS98" s="1"/>
      <c r="CD98" s="1"/>
    </row>
    <row r="99" spans="1:82" x14ac:dyDescent="0.3">
      <c r="A99">
        <v>98</v>
      </c>
      <c r="B99" t="s">
        <v>338</v>
      </c>
      <c r="C99" s="1" t="s">
        <v>339</v>
      </c>
      <c r="D99" t="s">
        <v>48</v>
      </c>
      <c r="E99" t="s">
        <v>340</v>
      </c>
      <c r="G99">
        <v>42</v>
      </c>
      <c r="H99">
        <v>42</v>
      </c>
      <c r="I99">
        <v>0</v>
      </c>
      <c r="J99">
        <v>0</v>
      </c>
      <c r="O99" s="1"/>
      <c r="AA99" s="1"/>
      <c r="AL99" s="1"/>
      <c r="AW99" s="1"/>
      <c r="BH99" s="1"/>
      <c r="BS99" s="1"/>
      <c r="CD99" s="1"/>
    </row>
    <row r="100" spans="1:82" x14ac:dyDescent="0.3">
      <c r="A100">
        <v>98</v>
      </c>
      <c r="B100" t="s">
        <v>341</v>
      </c>
      <c r="C100" s="1" t="s">
        <v>342</v>
      </c>
      <c r="D100" t="s">
        <v>147</v>
      </c>
      <c r="E100" t="s">
        <v>343</v>
      </c>
      <c r="G100">
        <v>42</v>
      </c>
      <c r="H100">
        <v>42</v>
      </c>
      <c r="I100">
        <v>0</v>
      </c>
      <c r="J100">
        <v>0</v>
      </c>
      <c r="O100" s="1"/>
      <c r="AA100" s="1"/>
      <c r="AL100" s="1"/>
      <c r="AW100" s="1"/>
      <c r="BH100" s="1"/>
      <c r="BS100" s="1"/>
      <c r="CD100" s="1"/>
    </row>
    <row r="101" spans="1:82" x14ac:dyDescent="0.3">
      <c r="A101">
        <v>98</v>
      </c>
      <c r="B101" t="s">
        <v>344</v>
      </c>
      <c r="C101" s="1" t="s">
        <v>345</v>
      </c>
      <c r="D101" t="s">
        <v>346</v>
      </c>
      <c r="E101" t="s">
        <v>347</v>
      </c>
      <c r="G101">
        <v>42</v>
      </c>
      <c r="H101">
        <v>0</v>
      </c>
      <c r="I101">
        <v>42</v>
      </c>
      <c r="J101">
        <v>0</v>
      </c>
      <c r="O101" s="1"/>
      <c r="AA101" s="1"/>
      <c r="AL101" s="1"/>
      <c r="AW101" s="1"/>
      <c r="BH101" s="1"/>
      <c r="BS101" s="1"/>
      <c r="CD101" s="1"/>
    </row>
    <row r="102" spans="1:82" x14ac:dyDescent="0.3">
      <c r="A102">
        <v>98</v>
      </c>
      <c r="B102" t="s">
        <v>348</v>
      </c>
      <c r="C102" s="1" t="s">
        <v>349</v>
      </c>
      <c r="D102" t="s">
        <v>81</v>
      </c>
      <c r="E102" t="s">
        <v>350</v>
      </c>
      <c r="G102">
        <v>42</v>
      </c>
      <c r="H102">
        <v>0</v>
      </c>
      <c r="I102">
        <v>42</v>
      </c>
      <c r="J102">
        <v>0</v>
      </c>
      <c r="O102" s="1"/>
      <c r="AA102" s="1"/>
      <c r="AL102" s="1"/>
      <c r="AW102" s="1"/>
      <c r="BH102" s="1"/>
      <c r="BS102" s="1"/>
      <c r="CD102" s="1"/>
    </row>
    <row r="103" spans="1:82" x14ac:dyDescent="0.3">
      <c r="A103">
        <v>102</v>
      </c>
      <c r="B103" t="s">
        <v>351</v>
      </c>
      <c r="C103" s="1" t="s">
        <v>352</v>
      </c>
      <c r="D103" t="s">
        <v>178</v>
      </c>
      <c r="E103" t="s">
        <v>353</v>
      </c>
      <c r="G103">
        <v>40</v>
      </c>
      <c r="H103">
        <v>33</v>
      </c>
      <c r="I103">
        <v>0</v>
      </c>
      <c r="J103">
        <v>7</v>
      </c>
      <c r="O103" s="1"/>
      <c r="AA103" s="1"/>
      <c r="AL103" s="1"/>
      <c r="AW103" s="1"/>
      <c r="BH103" s="1"/>
      <c r="BS103" s="1"/>
      <c r="CD103" s="1"/>
    </row>
    <row r="104" spans="1:82" x14ac:dyDescent="0.3">
      <c r="A104">
        <v>102</v>
      </c>
      <c r="B104" t="s">
        <v>354</v>
      </c>
      <c r="C104" s="1" t="s">
        <v>355</v>
      </c>
      <c r="D104" t="s">
        <v>223</v>
      </c>
      <c r="E104" t="s">
        <v>356</v>
      </c>
      <c r="G104">
        <v>40</v>
      </c>
      <c r="H104">
        <v>33</v>
      </c>
      <c r="I104">
        <v>0</v>
      </c>
      <c r="J104">
        <v>7</v>
      </c>
      <c r="O104" s="1"/>
      <c r="AA104" s="1"/>
      <c r="AL104" s="1"/>
      <c r="AW104" s="1"/>
      <c r="BH104" s="1"/>
      <c r="BS104" s="1"/>
      <c r="CD104" s="1"/>
    </row>
    <row r="105" spans="1:82" x14ac:dyDescent="0.3">
      <c r="A105">
        <v>102</v>
      </c>
      <c r="B105" t="s">
        <v>357</v>
      </c>
      <c r="C105" s="1" t="s">
        <v>358</v>
      </c>
      <c r="D105" t="s">
        <v>68</v>
      </c>
      <c r="E105" t="s">
        <v>359</v>
      </c>
      <c r="G105">
        <v>40</v>
      </c>
      <c r="H105">
        <v>24</v>
      </c>
      <c r="I105">
        <v>0</v>
      </c>
      <c r="J105">
        <v>16</v>
      </c>
      <c r="O105" s="1"/>
      <c r="AA105" s="1"/>
      <c r="AL105" s="1"/>
      <c r="AW105" s="1"/>
      <c r="BH105" s="1"/>
      <c r="BS105" s="1"/>
      <c r="CD105" s="1"/>
    </row>
    <row r="106" spans="1:82" x14ac:dyDescent="0.3">
      <c r="A106">
        <v>105</v>
      </c>
      <c r="B106" t="s">
        <v>360</v>
      </c>
      <c r="C106" s="1" t="s">
        <v>361</v>
      </c>
      <c r="D106" t="s">
        <v>362</v>
      </c>
      <c r="E106" t="s">
        <v>363</v>
      </c>
      <c r="G106">
        <v>39</v>
      </c>
      <c r="H106">
        <v>12</v>
      </c>
      <c r="I106">
        <v>27</v>
      </c>
      <c r="J106">
        <v>0</v>
      </c>
      <c r="O106" s="1"/>
      <c r="AA106" s="1"/>
      <c r="AL106" s="1"/>
      <c r="AW106" s="1"/>
      <c r="BH106" s="1"/>
      <c r="BS106" s="1"/>
      <c r="CD106" s="1"/>
    </row>
    <row r="107" spans="1:82" x14ac:dyDescent="0.3">
      <c r="A107">
        <v>106</v>
      </c>
      <c r="B107" t="s">
        <v>364</v>
      </c>
      <c r="C107" s="1" t="s">
        <v>365</v>
      </c>
      <c r="D107" t="s">
        <v>12</v>
      </c>
      <c r="E107" t="s">
        <v>366</v>
      </c>
      <c r="G107">
        <v>37</v>
      </c>
      <c r="H107">
        <v>30</v>
      </c>
      <c r="I107">
        <v>0</v>
      </c>
      <c r="J107">
        <v>7</v>
      </c>
      <c r="O107" s="1"/>
      <c r="AA107" s="1"/>
      <c r="AL107" s="1"/>
      <c r="AW107" s="1"/>
      <c r="BH107" s="1"/>
      <c r="BS107" s="1"/>
      <c r="CD107" s="1"/>
    </row>
    <row r="108" spans="1:82" x14ac:dyDescent="0.3">
      <c r="A108">
        <v>107</v>
      </c>
      <c r="B108" t="s">
        <v>367</v>
      </c>
      <c r="C108" s="1" t="s">
        <v>368</v>
      </c>
      <c r="D108" t="s">
        <v>369</v>
      </c>
      <c r="E108" t="s">
        <v>370</v>
      </c>
      <c r="G108">
        <v>31</v>
      </c>
      <c r="H108">
        <v>24</v>
      </c>
      <c r="I108">
        <v>0</v>
      </c>
      <c r="J108">
        <v>7</v>
      </c>
      <c r="O108" s="1"/>
      <c r="AA108" s="1"/>
      <c r="AL108" s="1"/>
      <c r="AW108" s="1"/>
      <c r="BH108" s="1"/>
      <c r="BS108" s="1"/>
      <c r="CD108" s="1"/>
    </row>
    <row r="109" spans="1:82" x14ac:dyDescent="0.3">
      <c r="A109">
        <v>107</v>
      </c>
      <c r="B109" t="s">
        <v>371</v>
      </c>
      <c r="C109" s="1" t="s">
        <v>372</v>
      </c>
      <c r="D109" t="s">
        <v>178</v>
      </c>
      <c r="E109" t="s">
        <v>373</v>
      </c>
      <c r="G109">
        <v>31</v>
      </c>
      <c r="H109">
        <v>24</v>
      </c>
      <c r="I109">
        <v>0</v>
      </c>
      <c r="J109">
        <v>7</v>
      </c>
      <c r="O109" s="1"/>
      <c r="AA109" s="1"/>
      <c r="AL109" s="1"/>
      <c r="AW109" s="1"/>
      <c r="BH109" s="1"/>
      <c r="BS109" s="1"/>
      <c r="CD109" s="1"/>
    </row>
    <row r="110" spans="1:82" x14ac:dyDescent="0.3">
      <c r="A110">
        <v>107</v>
      </c>
      <c r="B110" t="s">
        <v>374</v>
      </c>
      <c r="C110" s="1" t="s">
        <v>375</v>
      </c>
      <c r="D110" t="s">
        <v>24</v>
      </c>
      <c r="E110" t="s">
        <v>376</v>
      </c>
      <c r="G110">
        <v>31</v>
      </c>
      <c r="H110">
        <v>24</v>
      </c>
      <c r="I110">
        <v>0</v>
      </c>
      <c r="J110">
        <v>7</v>
      </c>
      <c r="O110" s="1"/>
      <c r="AA110" s="1"/>
      <c r="AL110" s="1"/>
      <c r="AW110" s="1"/>
      <c r="BH110" s="1"/>
      <c r="BS110" s="1"/>
      <c r="CD110" s="1"/>
    </row>
    <row r="111" spans="1:82" x14ac:dyDescent="0.3">
      <c r="A111">
        <v>107</v>
      </c>
      <c r="B111" t="s">
        <v>377</v>
      </c>
      <c r="C111" s="1" t="s">
        <v>378</v>
      </c>
      <c r="D111" t="s">
        <v>379</v>
      </c>
      <c r="E111" t="s">
        <v>380</v>
      </c>
      <c r="G111">
        <v>31</v>
      </c>
      <c r="H111">
        <v>24</v>
      </c>
      <c r="I111">
        <v>0</v>
      </c>
      <c r="J111">
        <v>7</v>
      </c>
      <c r="O111" s="1"/>
      <c r="AA111" s="1"/>
      <c r="AL111" s="1"/>
      <c r="AW111" s="1"/>
      <c r="BH111" s="1"/>
      <c r="BS111" s="1"/>
      <c r="CD111" s="1"/>
    </row>
    <row r="112" spans="1:82" x14ac:dyDescent="0.3">
      <c r="A112">
        <v>107</v>
      </c>
      <c r="B112" t="s">
        <v>381</v>
      </c>
      <c r="C112" s="1" t="s">
        <v>382</v>
      </c>
      <c r="D112" t="s">
        <v>383</v>
      </c>
      <c r="E112" t="s">
        <v>384</v>
      </c>
      <c r="G112">
        <v>31</v>
      </c>
      <c r="H112">
        <v>24</v>
      </c>
      <c r="I112">
        <v>0</v>
      </c>
      <c r="J112">
        <v>7</v>
      </c>
      <c r="O112" s="1"/>
      <c r="AA112" s="1"/>
      <c r="AL112" s="1"/>
      <c r="AW112" s="1"/>
      <c r="BH112" s="1"/>
      <c r="BS112" s="1"/>
      <c r="CD112" s="1"/>
    </row>
    <row r="113" spans="1:82" x14ac:dyDescent="0.3">
      <c r="A113">
        <v>107</v>
      </c>
      <c r="B113" t="s">
        <v>385</v>
      </c>
      <c r="C113" s="1" t="s">
        <v>386</v>
      </c>
      <c r="D113" t="s">
        <v>346</v>
      </c>
      <c r="E113" t="s">
        <v>387</v>
      </c>
      <c r="G113">
        <v>31</v>
      </c>
      <c r="H113">
        <v>24</v>
      </c>
      <c r="I113">
        <v>0</v>
      </c>
      <c r="J113">
        <v>7</v>
      </c>
      <c r="O113" s="1"/>
      <c r="AA113" s="1"/>
      <c r="AL113" s="1"/>
      <c r="AW113" s="1"/>
      <c r="BH113" s="1"/>
      <c r="BS113" s="1"/>
      <c r="CD113" s="1"/>
    </row>
    <row r="114" spans="1:82" x14ac:dyDescent="0.3">
      <c r="A114">
        <v>107</v>
      </c>
      <c r="B114" t="s">
        <v>388</v>
      </c>
      <c r="C114" s="1" t="s">
        <v>389</v>
      </c>
      <c r="D114" t="s">
        <v>191</v>
      </c>
      <c r="E114" t="s">
        <v>390</v>
      </c>
      <c r="G114">
        <v>31</v>
      </c>
      <c r="H114">
        <v>24</v>
      </c>
      <c r="I114">
        <v>0</v>
      </c>
      <c r="J114">
        <v>7</v>
      </c>
      <c r="O114" s="1"/>
      <c r="AA114" s="1"/>
      <c r="AL114" s="1"/>
      <c r="AW114" s="1"/>
      <c r="BH114" s="1"/>
      <c r="BS114" s="1"/>
      <c r="CD114" s="1"/>
    </row>
    <row r="115" spans="1:82" x14ac:dyDescent="0.3">
      <c r="A115">
        <v>107</v>
      </c>
      <c r="B115" t="s">
        <v>391</v>
      </c>
      <c r="C115" s="1" t="s">
        <v>392</v>
      </c>
      <c r="D115" t="s">
        <v>178</v>
      </c>
      <c r="E115" t="s">
        <v>393</v>
      </c>
      <c r="G115">
        <v>31</v>
      </c>
      <c r="H115">
        <v>24</v>
      </c>
      <c r="I115">
        <v>0</v>
      </c>
      <c r="J115">
        <v>7</v>
      </c>
      <c r="O115" s="1"/>
      <c r="AA115" s="1"/>
      <c r="AL115" s="1"/>
      <c r="AW115" s="1"/>
      <c r="BH115" s="1"/>
      <c r="BS115" s="1"/>
      <c r="CD115" s="1"/>
    </row>
    <row r="116" spans="1:82" x14ac:dyDescent="0.3">
      <c r="A116">
        <v>115</v>
      </c>
      <c r="B116" t="s">
        <v>394</v>
      </c>
      <c r="C116" s="1" t="s">
        <v>395</v>
      </c>
      <c r="D116" t="s">
        <v>178</v>
      </c>
      <c r="E116" t="s">
        <v>396</v>
      </c>
      <c r="G116">
        <v>30</v>
      </c>
      <c r="H116">
        <v>30</v>
      </c>
      <c r="I116">
        <v>0</v>
      </c>
      <c r="J116">
        <v>0</v>
      </c>
      <c r="O116" s="1"/>
      <c r="AA116" s="1"/>
      <c r="AL116" s="1"/>
      <c r="AW116" s="1"/>
      <c r="BH116" s="1"/>
      <c r="BS116" s="1"/>
      <c r="CD116" s="1"/>
    </row>
    <row r="117" spans="1:82" x14ac:dyDescent="0.3">
      <c r="A117">
        <v>116</v>
      </c>
      <c r="B117" t="s">
        <v>397</v>
      </c>
      <c r="C117" s="1" t="s">
        <v>398</v>
      </c>
      <c r="D117" t="s">
        <v>191</v>
      </c>
      <c r="E117" t="s">
        <v>399</v>
      </c>
      <c r="G117">
        <v>27</v>
      </c>
      <c r="H117">
        <v>0</v>
      </c>
      <c r="I117">
        <v>27</v>
      </c>
      <c r="J117">
        <v>0</v>
      </c>
      <c r="O117" s="1"/>
      <c r="AA117" s="1"/>
      <c r="AL117" s="1"/>
      <c r="AW117" s="1"/>
      <c r="BH117" s="1"/>
      <c r="BS117" s="1"/>
      <c r="CD117" s="1"/>
    </row>
    <row r="118" spans="1:82" x14ac:dyDescent="0.3">
      <c r="A118">
        <v>117</v>
      </c>
      <c r="B118" t="s">
        <v>400</v>
      </c>
      <c r="C118" s="1" t="s">
        <v>401</v>
      </c>
      <c r="D118" t="s">
        <v>89</v>
      </c>
      <c r="E118" t="s">
        <v>402</v>
      </c>
      <c r="G118">
        <v>24</v>
      </c>
      <c r="H118">
        <v>24</v>
      </c>
      <c r="I118">
        <v>0</v>
      </c>
      <c r="J118">
        <v>0</v>
      </c>
      <c r="O118" s="1"/>
      <c r="AA118" s="1"/>
      <c r="AL118" s="1"/>
      <c r="AW118" s="1"/>
      <c r="BH118" s="1"/>
      <c r="BS118" s="1"/>
      <c r="CD118" s="1"/>
    </row>
    <row r="119" spans="1:82" x14ac:dyDescent="0.3">
      <c r="A119">
        <v>117</v>
      </c>
      <c r="B119" t="s">
        <v>403</v>
      </c>
      <c r="C119" s="1" t="s">
        <v>404</v>
      </c>
      <c r="D119" t="s">
        <v>28</v>
      </c>
      <c r="E119" t="s">
        <v>405</v>
      </c>
      <c r="G119">
        <v>24</v>
      </c>
      <c r="H119">
        <v>24</v>
      </c>
      <c r="I119">
        <v>0</v>
      </c>
      <c r="J119">
        <v>0</v>
      </c>
      <c r="O119" s="1"/>
      <c r="AA119" s="1"/>
      <c r="AL119" s="1"/>
      <c r="AW119" s="1"/>
      <c r="BH119" s="1"/>
      <c r="BS119" s="1"/>
      <c r="CD119" s="1"/>
    </row>
    <row r="120" spans="1:82" x14ac:dyDescent="0.3">
      <c r="A120">
        <v>117</v>
      </c>
      <c r="B120" t="s">
        <v>406</v>
      </c>
      <c r="C120" s="1" t="s">
        <v>407</v>
      </c>
      <c r="D120" t="s">
        <v>178</v>
      </c>
      <c r="E120" t="s">
        <v>408</v>
      </c>
      <c r="G120">
        <v>24</v>
      </c>
      <c r="H120">
        <v>24</v>
      </c>
      <c r="I120">
        <v>0</v>
      </c>
      <c r="J120">
        <v>0</v>
      </c>
      <c r="O120" s="1"/>
      <c r="AA120" s="1"/>
      <c r="AL120" s="1"/>
      <c r="AW120" s="1"/>
      <c r="BH120" s="1"/>
      <c r="BS120" s="1"/>
      <c r="CD120" s="1"/>
    </row>
    <row r="121" spans="1:82" x14ac:dyDescent="0.3">
      <c r="A121">
        <v>117</v>
      </c>
      <c r="B121" t="s">
        <v>409</v>
      </c>
      <c r="C121" s="1" t="s">
        <v>410</v>
      </c>
      <c r="D121" t="s">
        <v>16</v>
      </c>
      <c r="E121" t="s">
        <v>411</v>
      </c>
      <c r="G121">
        <v>24</v>
      </c>
      <c r="H121">
        <v>24</v>
      </c>
      <c r="I121">
        <v>0</v>
      </c>
      <c r="J121">
        <v>0</v>
      </c>
      <c r="O121" s="1"/>
      <c r="AA121" s="1"/>
      <c r="AL121" s="1"/>
      <c r="AW121" s="1"/>
      <c r="BH121" s="1"/>
      <c r="BS121" s="1"/>
      <c r="CD121" s="1"/>
    </row>
    <row r="122" spans="1:82" x14ac:dyDescent="0.3">
      <c r="A122">
        <v>117</v>
      </c>
      <c r="B122" t="s">
        <v>412</v>
      </c>
      <c r="C122" s="1" t="s">
        <v>413</v>
      </c>
      <c r="D122" t="s">
        <v>414</v>
      </c>
      <c r="E122" t="s">
        <v>415</v>
      </c>
      <c r="G122">
        <v>24</v>
      </c>
      <c r="H122">
        <v>24</v>
      </c>
      <c r="I122">
        <v>0</v>
      </c>
      <c r="J122">
        <v>0</v>
      </c>
      <c r="O122" s="1"/>
      <c r="AA122" s="1"/>
      <c r="AL122" s="1"/>
      <c r="AW122" s="1"/>
      <c r="BH122" s="1"/>
      <c r="BS122" s="1"/>
      <c r="CD122" s="1"/>
    </row>
    <row r="123" spans="1:82" x14ac:dyDescent="0.3">
      <c r="A123">
        <v>117</v>
      </c>
      <c r="B123" t="s">
        <v>416</v>
      </c>
      <c r="C123" s="1" t="s">
        <v>417</v>
      </c>
      <c r="D123" t="s">
        <v>418</v>
      </c>
      <c r="E123" t="s">
        <v>419</v>
      </c>
      <c r="G123">
        <v>24</v>
      </c>
      <c r="H123">
        <v>24</v>
      </c>
      <c r="I123">
        <v>0</v>
      </c>
      <c r="J123">
        <v>0</v>
      </c>
      <c r="O123" s="1"/>
      <c r="AA123" s="1"/>
      <c r="AL123" s="1"/>
      <c r="AW123" s="1"/>
      <c r="BH123" s="1"/>
      <c r="BS123" s="1"/>
      <c r="CD123" s="1"/>
    </row>
    <row r="124" spans="1:82" x14ac:dyDescent="0.3">
      <c r="A124">
        <v>117</v>
      </c>
      <c r="B124" t="s">
        <v>420</v>
      </c>
      <c r="C124" s="1" t="s">
        <v>421</v>
      </c>
      <c r="D124" t="s">
        <v>305</v>
      </c>
      <c r="E124" t="s">
        <v>422</v>
      </c>
      <c r="G124">
        <v>24</v>
      </c>
      <c r="H124">
        <v>24</v>
      </c>
      <c r="I124">
        <v>0</v>
      </c>
      <c r="J124">
        <v>0</v>
      </c>
      <c r="O124" s="1"/>
      <c r="AA124" s="1"/>
      <c r="AL124" s="1"/>
      <c r="AW124" s="1"/>
      <c r="BH124" s="1"/>
      <c r="BS124" s="1"/>
      <c r="CD124" s="1"/>
    </row>
    <row r="125" spans="1:82" x14ac:dyDescent="0.3">
      <c r="A125">
        <v>117</v>
      </c>
      <c r="B125" t="s">
        <v>423</v>
      </c>
      <c r="C125" s="1" t="s">
        <v>424</v>
      </c>
      <c r="D125" t="s">
        <v>425</v>
      </c>
      <c r="E125" t="s">
        <v>426</v>
      </c>
      <c r="G125">
        <v>24</v>
      </c>
      <c r="H125">
        <v>24</v>
      </c>
      <c r="I125">
        <v>0</v>
      </c>
      <c r="J125">
        <v>0</v>
      </c>
      <c r="O125" s="1"/>
      <c r="AA125" s="1"/>
      <c r="AL125" s="1"/>
      <c r="AW125" s="1"/>
      <c r="BH125" s="1"/>
      <c r="BS125" s="1"/>
      <c r="CD125" s="1"/>
    </row>
    <row r="126" spans="1:82" x14ac:dyDescent="0.3">
      <c r="A126">
        <v>117</v>
      </c>
      <c r="B126" t="s">
        <v>427</v>
      </c>
      <c r="C126" s="1" t="s">
        <v>428</v>
      </c>
      <c r="D126" t="s">
        <v>254</v>
      </c>
      <c r="E126" t="s">
        <v>429</v>
      </c>
      <c r="G126">
        <v>24</v>
      </c>
      <c r="H126">
        <v>24</v>
      </c>
      <c r="I126">
        <v>0</v>
      </c>
      <c r="J126">
        <v>0</v>
      </c>
      <c r="O126" s="1"/>
      <c r="AA126" s="1"/>
      <c r="AL126" s="1"/>
      <c r="AW126" s="1"/>
      <c r="BH126" s="1"/>
      <c r="BS126" s="1"/>
      <c r="CD126" s="1"/>
    </row>
    <row r="127" spans="1:82" x14ac:dyDescent="0.3">
      <c r="A127">
        <v>117</v>
      </c>
      <c r="B127" t="s">
        <v>430</v>
      </c>
      <c r="C127" s="1" t="s">
        <v>431</v>
      </c>
      <c r="D127" t="s">
        <v>258</v>
      </c>
      <c r="E127" t="s">
        <v>432</v>
      </c>
      <c r="G127">
        <v>24</v>
      </c>
      <c r="H127">
        <v>24</v>
      </c>
      <c r="I127">
        <v>0</v>
      </c>
      <c r="J127">
        <v>0</v>
      </c>
      <c r="O127" s="1"/>
      <c r="AA127" s="1"/>
      <c r="AL127" s="1"/>
      <c r="AW127" s="1"/>
      <c r="BH127" s="1"/>
      <c r="BS127" s="1"/>
      <c r="CD127" s="1"/>
    </row>
    <row r="128" spans="1:82" x14ac:dyDescent="0.3">
      <c r="A128">
        <v>117</v>
      </c>
      <c r="B128" t="s">
        <v>433</v>
      </c>
      <c r="C128" s="1" t="s">
        <v>434</v>
      </c>
      <c r="D128" t="s">
        <v>81</v>
      </c>
      <c r="E128" t="s">
        <v>435</v>
      </c>
      <c r="G128">
        <v>24</v>
      </c>
      <c r="H128">
        <v>24</v>
      </c>
      <c r="I128">
        <v>0</v>
      </c>
      <c r="J128">
        <v>0</v>
      </c>
      <c r="O128" s="1"/>
      <c r="AA128" s="1"/>
      <c r="AL128" s="1"/>
      <c r="AW128" s="1"/>
      <c r="BH128" s="1"/>
      <c r="BS128" s="1"/>
      <c r="CD128" s="1"/>
    </row>
    <row r="129" spans="1:82" x14ac:dyDescent="0.3">
      <c r="A129">
        <v>117</v>
      </c>
      <c r="B129" t="s">
        <v>436</v>
      </c>
      <c r="C129" s="1" t="s">
        <v>437</v>
      </c>
      <c r="D129" t="s">
        <v>438</v>
      </c>
      <c r="E129" t="s">
        <v>439</v>
      </c>
      <c r="G129">
        <v>24</v>
      </c>
      <c r="H129">
        <v>24</v>
      </c>
      <c r="I129">
        <v>0</v>
      </c>
      <c r="J129">
        <v>0</v>
      </c>
      <c r="O129" s="1"/>
      <c r="AA129" s="1"/>
      <c r="AL129" s="1"/>
      <c r="AW129" s="1"/>
      <c r="BH129" s="1"/>
      <c r="BS129" s="1"/>
      <c r="CD129" s="1"/>
    </row>
    <row r="130" spans="1:82" x14ac:dyDescent="0.3">
      <c r="A130">
        <v>117</v>
      </c>
      <c r="B130" t="s">
        <v>440</v>
      </c>
      <c r="C130" s="1" t="s">
        <v>441</v>
      </c>
      <c r="D130" t="s">
        <v>442</v>
      </c>
      <c r="E130" t="s">
        <v>443</v>
      </c>
      <c r="G130">
        <v>24</v>
      </c>
      <c r="H130">
        <v>24</v>
      </c>
      <c r="I130">
        <v>0</v>
      </c>
      <c r="J130">
        <v>0</v>
      </c>
      <c r="O130" s="1"/>
      <c r="AA130" s="1"/>
      <c r="AL130" s="1"/>
      <c r="AW130" s="1"/>
      <c r="BH130" s="1"/>
      <c r="BS130" s="1"/>
      <c r="CD130" s="1"/>
    </row>
    <row r="131" spans="1:82" x14ac:dyDescent="0.3">
      <c r="A131">
        <v>117</v>
      </c>
      <c r="B131" t="s">
        <v>444</v>
      </c>
      <c r="C131" s="1" t="s">
        <v>445</v>
      </c>
      <c r="D131" t="s">
        <v>223</v>
      </c>
      <c r="E131" t="s">
        <v>446</v>
      </c>
      <c r="G131">
        <v>24</v>
      </c>
      <c r="H131">
        <v>24</v>
      </c>
      <c r="I131">
        <v>0</v>
      </c>
      <c r="J131">
        <v>0</v>
      </c>
      <c r="O131" s="1"/>
      <c r="AA131" s="1"/>
      <c r="AL131" s="1"/>
      <c r="AW131" s="1"/>
      <c r="BH131" s="1"/>
      <c r="BS131" s="1"/>
      <c r="CD131" s="1"/>
    </row>
    <row r="132" spans="1:82" x14ac:dyDescent="0.3">
      <c r="A132">
        <v>117</v>
      </c>
      <c r="B132" t="s">
        <v>447</v>
      </c>
      <c r="C132" s="1" t="s">
        <v>448</v>
      </c>
      <c r="D132" t="s">
        <v>81</v>
      </c>
      <c r="E132" t="s">
        <v>449</v>
      </c>
      <c r="G132">
        <v>24</v>
      </c>
      <c r="H132">
        <v>24</v>
      </c>
      <c r="I132">
        <v>0</v>
      </c>
      <c r="J132">
        <v>0</v>
      </c>
      <c r="O132" s="1"/>
      <c r="AA132" s="1"/>
      <c r="AL132" s="1"/>
      <c r="AW132" s="1"/>
      <c r="BH132" s="1"/>
      <c r="BS132" s="1"/>
      <c r="CD132" s="1"/>
    </row>
    <row r="133" spans="1:82" x14ac:dyDescent="0.3">
      <c r="A133">
        <v>117</v>
      </c>
      <c r="B133" t="s">
        <v>450</v>
      </c>
      <c r="C133" s="1" t="s">
        <v>451</v>
      </c>
      <c r="D133" t="s">
        <v>305</v>
      </c>
      <c r="E133" t="s">
        <v>452</v>
      </c>
      <c r="G133">
        <v>24</v>
      </c>
      <c r="H133">
        <v>24</v>
      </c>
      <c r="I133">
        <v>0</v>
      </c>
      <c r="J133">
        <v>0</v>
      </c>
      <c r="O133" s="1"/>
      <c r="AA133" s="1"/>
      <c r="AL133" s="1"/>
      <c r="AW133" s="1"/>
      <c r="BH133" s="1"/>
      <c r="BS133" s="1"/>
      <c r="CD133" s="1"/>
    </row>
    <row r="134" spans="1:82" x14ac:dyDescent="0.3">
      <c r="A134">
        <v>117</v>
      </c>
      <c r="B134" t="s">
        <v>453</v>
      </c>
      <c r="C134" s="1" t="s">
        <v>454</v>
      </c>
      <c r="D134" t="s">
        <v>81</v>
      </c>
      <c r="E134" t="s">
        <v>455</v>
      </c>
      <c r="G134">
        <v>24</v>
      </c>
      <c r="H134">
        <v>24</v>
      </c>
      <c r="I134">
        <v>0</v>
      </c>
      <c r="J134">
        <v>0</v>
      </c>
      <c r="O134" s="1"/>
      <c r="AA134" s="1"/>
      <c r="AL134" s="1"/>
      <c r="AW134" s="1"/>
      <c r="BH134" s="1"/>
      <c r="BS134" s="1"/>
      <c r="CD134" s="1"/>
    </row>
    <row r="135" spans="1:82" x14ac:dyDescent="0.3">
      <c r="A135">
        <v>117</v>
      </c>
      <c r="B135" t="s">
        <v>456</v>
      </c>
      <c r="C135" s="1" t="s">
        <v>457</v>
      </c>
      <c r="D135" t="s">
        <v>178</v>
      </c>
      <c r="E135" t="s">
        <v>458</v>
      </c>
      <c r="G135">
        <v>24</v>
      </c>
      <c r="H135">
        <v>24</v>
      </c>
      <c r="I135">
        <v>0</v>
      </c>
      <c r="J135">
        <v>0</v>
      </c>
      <c r="O135" s="1"/>
      <c r="AA135" s="1"/>
      <c r="AL135" s="1"/>
      <c r="AW135" s="1"/>
      <c r="BH135" s="1"/>
      <c r="BS135" s="1"/>
      <c r="CD135" s="1"/>
    </row>
    <row r="136" spans="1:82" x14ac:dyDescent="0.3">
      <c r="A136">
        <v>117</v>
      </c>
      <c r="B136" t="s">
        <v>459</v>
      </c>
      <c r="C136" s="1" t="s">
        <v>460</v>
      </c>
      <c r="D136" t="s">
        <v>461</v>
      </c>
      <c r="E136" t="s">
        <v>462</v>
      </c>
      <c r="G136">
        <v>24</v>
      </c>
      <c r="H136">
        <v>24</v>
      </c>
      <c r="I136">
        <v>0</v>
      </c>
      <c r="J136">
        <v>0</v>
      </c>
      <c r="O136" s="1"/>
      <c r="AA136" s="1"/>
      <c r="AL136" s="1"/>
      <c r="AW136" s="1"/>
      <c r="BH136" s="1"/>
      <c r="BS136" s="1"/>
      <c r="CD136" s="1"/>
    </row>
    <row r="137" spans="1:82" x14ac:dyDescent="0.3">
      <c r="A137">
        <v>117</v>
      </c>
      <c r="B137" t="s">
        <v>463</v>
      </c>
      <c r="C137" s="1" t="s">
        <v>464</v>
      </c>
      <c r="D137" t="s">
        <v>191</v>
      </c>
      <c r="E137" t="s">
        <v>465</v>
      </c>
      <c r="G137">
        <v>24</v>
      </c>
      <c r="H137">
        <v>24</v>
      </c>
      <c r="I137">
        <v>0</v>
      </c>
      <c r="J137">
        <v>0</v>
      </c>
      <c r="O137" s="1"/>
      <c r="AA137" s="1"/>
      <c r="AL137" s="1"/>
      <c r="AW137" s="1"/>
      <c r="BH137" s="1"/>
      <c r="BS137" s="1"/>
      <c r="CD137" s="1"/>
    </row>
    <row r="138" spans="1:82" x14ac:dyDescent="0.3">
      <c r="A138">
        <v>137</v>
      </c>
      <c r="B138" t="s">
        <v>466</v>
      </c>
      <c r="C138" s="1" t="s">
        <v>467</v>
      </c>
      <c r="D138" t="s">
        <v>48</v>
      </c>
      <c r="E138" t="s">
        <v>468</v>
      </c>
      <c r="G138">
        <v>21</v>
      </c>
      <c r="H138">
        <v>21</v>
      </c>
      <c r="I138">
        <v>0</v>
      </c>
      <c r="J138">
        <v>0</v>
      </c>
      <c r="O138" s="1"/>
      <c r="AA138" s="1"/>
      <c r="AL138" s="1"/>
      <c r="AW138" s="1"/>
      <c r="BH138" s="1"/>
      <c r="BS138" s="1"/>
      <c r="CD138" s="1"/>
    </row>
    <row r="139" spans="1:82" x14ac:dyDescent="0.3">
      <c r="A139">
        <v>138</v>
      </c>
      <c r="B139" t="s">
        <v>469</v>
      </c>
      <c r="C139" s="1" t="s">
        <v>470</v>
      </c>
      <c r="D139" t="s">
        <v>471</v>
      </c>
      <c r="E139" t="s">
        <v>472</v>
      </c>
      <c r="G139">
        <v>18</v>
      </c>
      <c r="H139">
        <v>18</v>
      </c>
      <c r="I139">
        <v>0</v>
      </c>
      <c r="J139">
        <v>0</v>
      </c>
      <c r="O139" s="1"/>
      <c r="AA139" s="1"/>
      <c r="AL139" s="1"/>
      <c r="AW139" s="1"/>
      <c r="BH139" s="1"/>
      <c r="BS139" s="1"/>
      <c r="CD139" s="1"/>
    </row>
    <row r="140" spans="1:82" x14ac:dyDescent="0.3">
      <c r="A140">
        <v>138</v>
      </c>
      <c r="B140" t="s">
        <v>473</v>
      </c>
      <c r="C140" s="1" t="s">
        <v>474</v>
      </c>
      <c r="D140" t="s">
        <v>100</v>
      </c>
      <c r="E140" t="s">
        <v>475</v>
      </c>
      <c r="G140">
        <v>18</v>
      </c>
      <c r="H140">
        <v>18</v>
      </c>
      <c r="I140">
        <v>0</v>
      </c>
      <c r="J140">
        <v>0</v>
      </c>
      <c r="O140" s="1"/>
      <c r="AA140" s="1"/>
      <c r="AL140" s="1"/>
      <c r="AW140" s="1"/>
      <c r="BH140" s="1"/>
      <c r="BS140" s="1"/>
      <c r="CD140" s="1"/>
    </row>
    <row r="141" spans="1:82" x14ac:dyDescent="0.3">
      <c r="A141">
        <v>140</v>
      </c>
      <c r="B141" t="s">
        <v>476</v>
      </c>
      <c r="C141" s="1" t="s">
        <v>477</v>
      </c>
      <c r="D141" t="s">
        <v>81</v>
      </c>
      <c r="E141" t="s">
        <v>478</v>
      </c>
      <c r="G141">
        <v>12</v>
      </c>
      <c r="H141">
        <v>12</v>
      </c>
      <c r="I141">
        <v>0</v>
      </c>
      <c r="J141">
        <v>0</v>
      </c>
      <c r="O141" s="1"/>
      <c r="AA141" s="1"/>
      <c r="AL141" s="1"/>
      <c r="AW141" s="1"/>
      <c r="BH141" s="1"/>
      <c r="BS141" s="1"/>
      <c r="CD141" s="1"/>
    </row>
    <row r="142" spans="1:82" x14ac:dyDescent="0.3">
      <c r="A142">
        <v>140</v>
      </c>
      <c r="B142" t="s">
        <v>479</v>
      </c>
      <c r="C142" s="1" t="s">
        <v>480</v>
      </c>
      <c r="D142" t="s">
        <v>81</v>
      </c>
      <c r="E142" t="s">
        <v>481</v>
      </c>
      <c r="G142">
        <v>12</v>
      </c>
      <c r="H142">
        <v>12</v>
      </c>
      <c r="I142">
        <v>0</v>
      </c>
      <c r="J142">
        <v>0</v>
      </c>
      <c r="O142" s="1"/>
      <c r="AA142" s="1"/>
      <c r="AL142" s="1"/>
      <c r="AW142" s="1"/>
      <c r="BH142" s="1"/>
      <c r="BS142" s="1"/>
      <c r="CD142" s="1"/>
    </row>
    <row r="143" spans="1:82" x14ac:dyDescent="0.3">
      <c r="A143">
        <v>140</v>
      </c>
      <c r="B143" t="s">
        <v>482</v>
      </c>
      <c r="C143" s="1" t="s">
        <v>483</v>
      </c>
      <c r="D143" t="s">
        <v>24</v>
      </c>
      <c r="E143" t="s">
        <v>484</v>
      </c>
      <c r="G143">
        <v>12</v>
      </c>
      <c r="H143">
        <v>12</v>
      </c>
      <c r="I143">
        <v>0</v>
      </c>
      <c r="J143">
        <v>0</v>
      </c>
      <c r="O143" s="1"/>
      <c r="AA143" s="1"/>
      <c r="AL143" s="1"/>
      <c r="AW143" s="1"/>
      <c r="BH143" s="1"/>
      <c r="BS143" s="1"/>
      <c r="CD143" s="1"/>
    </row>
    <row r="144" spans="1:82" x14ac:dyDescent="0.3">
      <c r="A144">
        <v>140</v>
      </c>
      <c r="B144" t="s">
        <v>485</v>
      </c>
      <c r="C144" s="1" t="s">
        <v>486</v>
      </c>
      <c r="D144" t="s">
        <v>89</v>
      </c>
      <c r="E144" t="s">
        <v>487</v>
      </c>
      <c r="G144">
        <v>12</v>
      </c>
      <c r="H144">
        <v>12</v>
      </c>
      <c r="I144">
        <v>0</v>
      </c>
      <c r="J144">
        <v>0</v>
      </c>
      <c r="O144" s="1"/>
      <c r="AA144" s="1"/>
      <c r="AL144" s="1"/>
      <c r="AW144" s="1"/>
      <c r="BH144" s="1"/>
      <c r="BS144" s="1"/>
      <c r="CD144" s="1"/>
    </row>
    <row r="145" spans="1:82" x14ac:dyDescent="0.3">
      <c r="A145">
        <v>144</v>
      </c>
      <c r="B145" t="s">
        <v>488</v>
      </c>
      <c r="C145" s="1" t="s">
        <v>489</v>
      </c>
      <c r="D145" t="s">
        <v>362</v>
      </c>
      <c r="E145" t="s">
        <v>490</v>
      </c>
      <c r="G145">
        <v>7</v>
      </c>
      <c r="H145">
        <v>0</v>
      </c>
      <c r="I145">
        <v>0</v>
      </c>
      <c r="J145">
        <v>7</v>
      </c>
      <c r="O145" s="1"/>
      <c r="AA145" s="1"/>
      <c r="AL145" s="1"/>
      <c r="AW145" s="1"/>
      <c r="BH145" s="1"/>
      <c r="BS145" s="1"/>
      <c r="CD145" s="1"/>
    </row>
    <row r="146" spans="1:82" x14ac:dyDescent="0.3">
      <c r="A146">
        <v>144</v>
      </c>
      <c r="B146" t="s">
        <v>491</v>
      </c>
      <c r="C146" s="1" t="s">
        <v>492</v>
      </c>
      <c r="D146" t="s">
        <v>178</v>
      </c>
      <c r="E146" t="s">
        <v>493</v>
      </c>
      <c r="G146">
        <v>7</v>
      </c>
      <c r="H146">
        <v>0</v>
      </c>
      <c r="I146">
        <v>0</v>
      </c>
      <c r="J146">
        <v>7</v>
      </c>
      <c r="O146" s="1"/>
      <c r="AA146" s="1"/>
      <c r="AL146" s="1"/>
      <c r="AW146" s="1"/>
      <c r="BH146" s="1"/>
      <c r="BS146" s="1"/>
      <c r="CD146" s="1"/>
    </row>
    <row r="147" spans="1:82" x14ac:dyDescent="0.3">
      <c r="A147">
        <v>144</v>
      </c>
      <c r="B147" t="s">
        <v>494</v>
      </c>
      <c r="C147" s="1" t="s">
        <v>495</v>
      </c>
      <c r="D147" t="s">
        <v>178</v>
      </c>
      <c r="E147" t="s">
        <v>496</v>
      </c>
      <c r="G147">
        <v>7</v>
      </c>
      <c r="H147">
        <v>0</v>
      </c>
      <c r="I147">
        <v>0</v>
      </c>
      <c r="J147">
        <v>7</v>
      </c>
      <c r="O147" s="1"/>
      <c r="AA147" s="1"/>
      <c r="AL147" s="1"/>
      <c r="AW147" s="1"/>
      <c r="BH147" s="1"/>
      <c r="BS147" s="1"/>
      <c r="CD147" s="1"/>
    </row>
    <row r="148" spans="1:82" x14ac:dyDescent="0.3">
      <c r="A148">
        <v>147</v>
      </c>
      <c r="B148" t="s">
        <v>497</v>
      </c>
      <c r="C148" s="1" t="s">
        <v>498</v>
      </c>
      <c r="D148" t="s">
        <v>282</v>
      </c>
      <c r="E148" t="s">
        <v>499</v>
      </c>
      <c r="G148">
        <v>0</v>
      </c>
      <c r="H148">
        <v>0</v>
      </c>
      <c r="I148">
        <v>0</v>
      </c>
      <c r="J148">
        <v>0</v>
      </c>
      <c r="O148" s="1"/>
      <c r="AA148" s="1"/>
      <c r="AL148" s="1"/>
      <c r="AW148" s="1"/>
      <c r="BH148" s="1"/>
      <c r="BS148" s="1"/>
      <c r="CD148" s="1"/>
    </row>
    <row r="149" spans="1:82" x14ac:dyDescent="0.3">
      <c r="A149">
        <v>147</v>
      </c>
      <c r="B149" t="s">
        <v>500</v>
      </c>
      <c r="C149" s="1" t="s">
        <v>501</v>
      </c>
      <c r="D149" t="s">
        <v>502</v>
      </c>
      <c r="E149" t="s">
        <v>503</v>
      </c>
      <c r="G149">
        <v>0</v>
      </c>
      <c r="H149">
        <v>0</v>
      </c>
      <c r="I149">
        <v>0</v>
      </c>
      <c r="J149">
        <v>0</v>
      </c>
      <c r="O149" s="1"/>
      <c r="AA149" s="1"/>
      <c r="AL149" s="1"/>
      <c r="AW149" s="1"/>
      <c r="BH149" s="1"/>
      <c r="BS149" s="1"/>
      <c r="CD149" s="1"/>
    </row>
    <row r="150" spans="1:82" x14ac:dyDescent="0.3">
      <c r="A150">
        <v>147</v>
      </c>
      <c r="B150" t="s">
        <v>504</v>
      </c>
      <c r="C150" s="1" t="s">
        <v>505</v>
      </c>
      <c r="D150" t="s">
        <v>178</v>
      </c>
      <c r="E150" t="s">
        <v>506</v>
      </c>
      <c r="G150">
        <v>0</v>
      </c>
      <c r="H150">
        <v>0</v>
      </c>
      <c r="I150">
        <v>0</v>
      </c>
      <c r="J150">
        <v>0</v>
      </c>
      <c r="O150" s="1"/>
      <c r="AA150" s="1"/>
      <c r="AL150" s="1"/>
      <c r="AW150" s="1"/>
      <c r="BH150" s="1"/>
      <c r="BS150" s="1"/>
      <c r="CD150" s="1"/>
    </row>
    <row r="151" spans="1:82" x14ac:dyDescent="0.3">
      <c r="A151">
        <v>147</v>
      </c>
      <c r="B151" t="s">
        <v>507</v>
      </c>
      <c r="C151" s="1" t="s">
        <v>508</v>
      </c>
      <c r="D151" t="s">
        <v>16</v>
      </c>
      <c r="E151" t="s">
        <v>509</v>
      </c>
      <c r="G151">
        <v>0</v>
      </c>
      <c r="H151">
        <v>0</v>
      </c>
      <c r="I151">
        <v>0</v>
      </c>
      <c r="J151">
        <v>0</v>
      </c>
      <c r="O151" s="1"/>
      <c r="AA151" s="1"/>
      <c r="AL151" s="1"/>
      <c r="AW151" s="1"/>
      <c r="BH151" s="1"/>
      <c r="BS151" s="1"/>
      <c r="CD151" s="1"/>
    </row>
    <row r="152" spans="1:82" x14ac:dyDescent="0.3">
      <c r="A152">
        <v>147</v>
      </c>
      <c r="B152" t="s">
        <v>510</v>
      </c>
      <c r="C152" s="1" t="s">
        <v>511</v>
      </c>
      <c r="D152" t="s">
        <v>425</v>
      </c>
      <c r="E152" t="s">
        <v>512</v>
      </c>
      <c r="G152">
        <v>0</v>
      </c>
      <c r="H152">
        <v>0</v>
      </c>
      <c r="I152">
        <v>0</v>
      </c>
      <c r="J152">
        <v>0</v>
      </c>
      <c r="O152" s="1"/>
      <c r="AA152" s="1"/>
      <c r="AL152" s="1"/>
      <c r="AW152" s="1"/>
      <c r="BH152" s="1"/>
      <c r="BS152" s="1"/>
      <c r="CD152" s="1"/>
    </row>
    <row r="153" spans="1:82" x14ac:dyDescent="0.3">
      <c r="A153">
        <v>147</v>
      </c>
      <c r="B153" t="s">
        <v>513</v>
      </c>
      <c r="C153" s="1" t="s">
        <v>514</v>
      </c>
      <c r="D153" t="s">
        <v>108</v>
      </c>
      <c r="E153" t="s">
        <v>515</v>
      </c>
      <c r="G153">
        <v>0</v>
      </c>
      <c r="H153">
        <v>0</v>
      </c>
      <c r="I153">
        <v>0</v>
      </c>
      <c r="J153">
        <v>0</v>
      </c>
      <c r="O153" s="1"/>
      <c r="AA153" s="1"/>
      <c r="AL153" s="1"/>
      <c r="AW153" s="1"/>
      <c r="BH153" s="1"/>
      <c r="BS153" s="1"/>
      <c r="CD153" s="1"/>
    </row>
    <row r="154" spans="1:82" x14ac:dyDescent="0.3">
      <c r="A154">
        <v>147</v>
      </c>
      <c r="B154" t="s">
        <v>516</v>
      </c>
      <c r="C154" s="1" t="s">
        <v>517</v>
      </c>
      <c r="D154" t="s">
        <v>442</v>
      </c>
      <c r="E154" t="s">
        <v>518</v>
      </c>
      <c r="G154">
        <v>0</v>
      </c>
      <c r="H154">
        <v>0</v>
      </c>
      <c r="I154">
        <v>0</v>
      </c>
      <c r="J154">
        <v>0</v>
      </c>
      <c r="O154" s="1"/>
      <c r="AA154" s="1"/>
      <c r="AL154" s="1"/>
      <c r="AW154" s="1"/>
      <c r="BH154" s="1"/>
      <c r="BS154" s="1"/>
      <c r="CD154" s="1"/>
    </row>
    <row r="155" spans="1:82" x14ac:dyDescent="0.3">
      <c r="A155">
        <v>147</v>
      </c>
      <c r="B155" t="s">
        <v>519</v>
      </c>
      <c r="C155" s="1" t="s">
        <v>520</v>
      </c>
      <c r="D155" t="s">
        <v>521</v>
      </c>
      <c r="E155" t="s">
        <v>522</v>
      </c>
      <c r="G155">
        <v>0</v>
      </c>
      <c r="H155">
        <v>0</v>
      </c>
      <c r="I155">
        <v>0</v>
      </c>
      <c r="J155">
        <v>0</v>
      </c>
      <c r="O155" s="1"/>
      <c r="AA155" s="1"/>
      <c r="AL155" s="1"/>
      <c r="AW155" s="1"/>
      <c r="BH155" s="1"/>
      <c r="BS155" s="1"/>
      <c r="CD155" s="1"/>
    </row>
    <row r="156" spans="1:82" x14ac:dyDescent="0.3">
      <c r="A156">
        <v>147</v>
      </c>
      <c r="B156" t="s">
        <v>523</v>
      </c>
      <c r="C156" s="1" t="s">
        <v>524</v>
      </c>
      <c r="D156" t="s">
        <v>89</v>
      </c>
      <c r="E156" t="s">
        <v>525</v>
      </c>
      <c r="G156">
        <v>0</v>
      </c>
      <c r="H156">
        <v>0</v>
      </c>
      <c r="I156">
        <v>0</v>
      </c>
      <c r="J156">
        <v>0</v>
      </c>
      <c r="O156" s="1"/>
      <c r="AA156" s="1"/>
      <c r="AL156" s="1"/>
      <c r="AW156" s="1"/>
      <c r="BH156" s="1"/>
      <c r="BS156" s="1"/>
      <c r="CD156" s="1"/>
    </row>
    <row r="157" spans="1:82" x14ac:dyDescent="0.3">
      <c r="A157">
        <v>147</v>
      </c>
      <c r="B157" t="s">
        <v>526</v>
      </c>
      <c r="C157" s="1" t="s">
        <v>527</v>
      </c>
      <c r="D157" t="s">
        <v>81</v>
      </c>
      <c r="E157" t="s">
        <v>528</v>
      </c>
      <c r="G157">
        <v>0</v>
      </c>
      <c r="H157">
        <v>0</v>
      </c>
      <c r="I157">
        <v>0</v>
      </c>
      <c r="J157">
        <v>0</v>
      </c>
      <c r="O157" s="1"/>
      <c r="AA157" s="1"/>
      <c r="AL157" s="1"/>
      <c r="AW157" s="1"/>
      <c r="BH157" s="1"/>
      <c r="BS157" s="1"/>
      <c r="CD157" s="1"/>
    </row>
    <row r="158" spans="1:82" x14ac:dyDescent="0.3">
      <c r="O158" s="1"/>
      <c r="AA158" s="1"/>
      <c r="AL158" s="1"/>
      <c r="AW158" s="1"/>
      <c r="BH158" s="1"/>
      <c r="BS158" s="1"/>
      <c r="CD158" s="1"/>
    </row>
    <row r="159" spans="1:82" x14ac:dyDescent="0.3">
      <c r="O159" s="1"/>
      <c r="AA159" s="1"/>
      <c r="AL159" s="1"/>
      <c r="AW159" s="1"/>
      <c r="BH159" s="1"/>
      <c r="BS159" s="1"/>
      <c r="CD159" s="1"/>
    </row>
    <row r="160" spans="1:82" x14ac:dyDescent="0.3">
      <c r="O160" s="1"/>
      <c r="AA160" s="1"/>
      <c r="AL160" s="1"/>
      <c r="AW160" s="1"/>
      <c r="BH160" s="1"/>
      <c r="BS160" s="1"/>
      <c r="CD160" s="1"/>
    </row>
    <row r="161" spans="15:82" x14ac:dyDescent="0.3">
      <c r="O161" s="1"/>
      <c r="AA161" s="1"/>
      <c r="AL161" s="1"/>
      <c r="AW161" s="1"/>
      <c r="BH161" s="1"/>
      <c r="BS161" s="1"/>
      <c r="CD161" s="1"/>
    </row>
    <row r="162" spans="15:82" x14ac:dyDescent="0.3">
      <c r="O162" s="1"/>
      <c r="AA162" s="1"/>
      <c r="AL162" s="1"/>
      <c r="AW162" s="1"/>
      <c r="BH162" s="1"/>
      <c r="CD162" s="1"/>
    </row>
    <row r="163" spans="15:82" x14ac:dyDescent="0.3">
      <c r="O163" s="1"/>
      <c r="AA163" s="1"/>
      <c r="AL163" s="1"/>
      <c r="AW163" s="1"/>
      <c r="BH163" s="1"/>
      <c r="CD163" s="1"/>
    </row>
    <row r="164" spans="15:82" x14ac:dyDescent="0.3">
      <c r="O164" s="1"/>
      <c r="AA164" s="1"/>
      <c r="AL164" s="1"/>
      <c r="AW164" s="1"/>
      <c r="BH164" s="1"/>
    </row>
    <row r="165" spans="15:82" x14ac:dyDescent="0.3">
      <c r="O165" s="1"/>
      <c r="AA165" s="1"/>
      <c r="AW165" s="1"/>
      <c r="BH165" s="1"/>
    </row>
    <row r="166" spans="15:82" x14ac:dyDescent="0.3">
      <c r="AA166" s="1"/>
    </row>
    <row r="167" spans="15:82" x14ac:dyDescent="0.3">
      <c r="AA167" s="1"/>
    </row>
  </sheetData>
  <sortState xmlns:xlrd2="http://schemas.microsoft.com/office/spreadsheetml/2017/richdata2" ref="CB2:CK163">
    <sortCondition ref="CC2:CC163"/>
  </sortState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529</v>
      </c>
      <c r="I1" t="s">
        <v>530</v>
      </c>
      <c r="J1" t="s">
        <v>531</v>
      </c>
    </row>
    <row r="2" spans="1:10" x14ac:dyDescent="0.3">
      <c r="A2">
        <v>1</v>
      </c>
      <c r="B2" t="s">
        <v>290</v>
      </c>
      <c r="C2" s="1" t="s">
        <v>291</v>
      </c>
      <c r="D2" t="s">
        <v>81</v>
      </c>
      <c r="E2" t="s">
        <v>292</v>
      </c>
      <c r="G2">
        <v>234</v>
      </c>
      <c r="H2">
        <v>100</v>
      </c>
      <c r="I2">
        <v>100</v>
      </c>
      <c r="J2">
        <v>34</v>
      </c>
    </row>
    <row r="3" spans="1:10" x14ac:dyDescent="0.3">
      <c r="A3">
        <v>2</v>
      </c>
      <c r="B3" t="s">
        <v>10</v>
      </c>
      <c r="C3" s="1" t="s">
        <v>11</v>
      </c>
      <c r="D3" t="s">
        <v>12</v>
      </c>
      <c r="E3" t="s">
        <v>13</v>
      </c>
      <c r="G3">
        <v>233</v>
      </c>
      <c r="H3">
        <v>100</v>
      </c>
      <c r="I3">
        <v>100</v>
      </c>
      <c r="J3">
        <v>33</v>
      </c>
    </row>
    <row r="4" spans="1:10" x14ac:dyDescent="0.3">
      <c r="A4">
        <v>3</v>
      </c>
      <c r="B4" t="s">
        <v>36</v>
      </c>
      <c r="C4" s="1" t="s">
        <v>37</v>
      </c>
      <c r="D4" t="s">
        <v>16</v>
      </c>
      <c r="E4" t="s">
        <v>38</v>
      </c>
      <c r="G4">
        <v>225</v>
      </c>
      <c r="H4">
        <v>100</v>
      </c>
      <c r="I4">
        <v>100</v>
      </c>
      <c r="J4">
        <v>25</v>
      </c>
    </row>
    <row r="5" spans="1:10" x14ac:dyDescent="0.3">
      <c r="A5">
        <v>4</v>
      </c>
      <c r="B5" t="s">
        <v>30</v>
      </c>
      <c r="C5" s="1" t="s">
        <v>31</v>
      </c>
      <c r="D5" t="s">
        <v>20</v>
      </c>
      <c r="E5" t="s">
        <v>32</v>
      </c>
      <c r="G5">
        <v>215</v>
      </c>
      <c r="H5">
        <v>100</v>
      </c>
      <c r="I5">
        <v>100</v>
      </c>
      <c r="J5">
        <v>15</v>
      </c>
    </row>
    <row r="6" spans="1:10" x14ac:dyDescent="0.3">
      <c r="A6">
        <v>5</v>
      </c>
      <c r="B6" t="s">
        <v>79</v>
      </c>
      <c r="C6" s="1" t="s">
        <v>80</v>
      </c>
      <c r="D6" t="s">
        <v>81</v>
      </c>
      <c r="E6" t="s">
        <v>82</v>
      </c>
      <c r="G6">
        <v>214</v>
      </c>
      <c r="H6">
        <v>100</v>
      </c>
      <c r="I6">
        <v>56</v>
      </c>
      <c r="J6">
        <v>58</v>
      </c>
    </row>
    <row r="7" spans="1:10" x14ac:dyDescent="0.3">
      <c r="A7">
        <v>6</v>
      </c>
      <c r="B7" t="s">
        <v>338</v>
      </c>
      <c r="C7" s="1" t="s">
        <v>339</v>
      </c>
      <c r="D7" t="s">
        <v>48</v>
      </c>
      <c r="E7" t="s">
        <v>340</v>
      </c>
      <c r="G7">
        <v>212</v>
      </c>
      <c r="H7">
        <v>100</v>
      </c>
      <c r="I7">
        <v>100</v>
      </c>
      <c r="J7">
        <v>12</v>
      </c>
    </row>
    <row r="8" spans="1:10" x14ac:dyDescent="0.3">
      <c r="A8">
        <v>7</v>
      </c>
      <c r="B8" t="s">
        <v>141</v>
      </c>
      <c r="C8" s="1" t="s">
        <v>142</v>
      </c>
      <c r="D8" t="s">
        <v>143</v>
      </c>
      <c r="E8" t="s">
        <v>144</v>
      </c>
      <c r="G8">
        <v>201</v>
      </c>
      <c r="H8">
        <v>100</v>
      </c>
      <c r="I8">
        <v>76</v>
      </c>
      <c r="J8">
        <v>25</v>
      </c>
    </row>
    <row r="9" spans="1:10" x14ac:dyDescent="0.3">
      <c r="A9">
        <v>7</v>
      </c>
      <c r="B9" t="s">
        <v>98</v>
      </c>
      <c r="C9" s="1" t="s">
        <v>99</v>
      </c>
      <c r="D9" t="s">
        <v>100</v>
      </c>
      <c r="E9" t="s">
        <v>101</v>
      </c>
      <c r="G9">
        <v>201</v>
      </c>
      <c r="H9">
        <v>100</v>
      </c>
      <c r="I9">
        <v>76</v>
      </c>
      <c r="J9">
        <v>25</v>
      </c>
    </row>
    <row r="10" spans="1:10" x14ac:dyDescent="0.3">
      <c r="A10">
        <v>9</v>
      </c>
      <c r="B10" t="s">
        <v>83</v>
      </c>
      <c r="C10" s="1" t="s">
        <v>84</v>
      </c>
      <c r="D10" t="s">
        <v>85</v>
      </c>
      <c r="E10" t="s">
        <v>86</v>
      </c>
      <c r="G10">
        <v>200</v>
      </c>
      <c r="H10">
        <v>100</v>
      </c>
      <c r="I10">
        <v>0</v>
      </c>
      <c r="J10">
        <v>100</v>
      </c>
    </row>
    <row r="11" spans="1:10" x14ac:dyDescent="0.3">
      <c r="A11">
        <v>10</v>
      </c>
      <c r="B11" t="s">
        <v>163</v>
      </c>
      <c r="C11" s="1" t="s">
        <v>164</v>
      </c>
      <c r="D11" t="s">
        <v>89</v>
      </c>
      <c r="E11" t="s">
        <v>165</v>
      </c>
      <c r="G11">
        <v>197</v>
      </c>
      <c r="H11">
        <v>100</v>
      </c>
      <c r="I11">
        <v>76</v>
      </c>
      <c r="J11">
        <v>21</v>
      </c>
    </row>
    <row r="12" spans="1:10" x14ac:dyDescent="0.3">
      <c r="A12">
        <v>11</v>
      </c>
      <c r="B12" t="s">
        <v>46</v>
      </c>
      <c r="C12" s="1" t="s">
        <v>47</v>
      </c>
      <c r="D12" t="s">
        <v>48</v>
      </c>
      <c r="E12" t="s">
        <v>49</v>
      </c>
      <c r="G12">
        <v>190</v>
      </c>
      <c r="H12">
        <v>100</v>
      </c>
      <c r="I12">
        <v>56</v>
      </c>
      <c r="J12">
        <v>34</v>
      </c>
    </row>
    <row r="13" spans="1:10" x14ac:dyDescent="0.3">
      <c r="A13">
        <v>11</v>
      </c>
      <c r="B13" t="s">
        <v>58</v>
      </c>
      <c r="C13" s="1" t="s">
        <v>59</v>
      </c>
      <c r="D13" t="s">
        <v>60</v>
      </c>
      <c r="E13" t="s">
        <v>61</v>
      </c>
      <c r="G13">
        <v>190</v>
      </c>
      <c r="H13">
        <v>100</v>
      </c>
      <c r="I13">
        <v>56</v>
      </c>
      <c r="J13">
        <v>34</v>
      </c>
    </row>
    <row r="14" spans="1:10" x14ac:dyDescent="0.3">
      <c r="A14">
        <v>11</v>
      </c>
      <c r="B14" t="s">
        <v>76</v>
      </c>
      <c r="C14" s="1" t="s">
        <v>77</v>
      </c>
      <c r="D14" t="s">
        <v>64</v>
      </c>
      <c r="E14" t="s">
        <v>78</v>
      </c>
      <c r="G14">
        <v>190</v>
      </c>
      <c r="H14">
        <v>100</v>
      </c>
      <c r="I14">
        <v>56</v>
      </c>
      <c r="J14">
        <v>34</v>
      </c>
    </row>
    <row r="15" spans="1:10" x14ac:dyDescent="0.3">
      <c r="A15">
        <v>11</v>
      </c>
      <c r="B15" t="s">
        <v>374</v>
      </c>
      <c r="C15" s="1" t="s">
        <v>375</v>
      </c>
      <c r="D15" t="s">
        <v>24</v>
      </c>
      <c r="E15" t="s">
        <v>376</v>
      </c>
      <c r="G15">
        <v>190</v>
      </c>
      <c r="H15">
        <v>100</v>
      </c>
      <c r="I15">
        <v>56</v>
      </c>
      <c r="J15">
        <v>34</v>
      </c>
    </row>
    <row r="16" spans="1:10" x14ac:dyDescent="0.3">
      <c r="A16">
        <v>11</v>
      </c>
      <c r="B16" t="s">
        <v>50</v>
      </c>
      <c r="C16" s="1" t="s">
        <v>51</v>
      </c>
      <c r="D16" t="s">
        <v>52</v>
      </c>
      <c r="E16" t="s">
        <v>53</v>
      </c>
      <c r="G16">
        <v>190</v>
      </c>
      <c r="H16">
        <v>100</v>
      </c>
      <c r="I16">
        <v>56</v>
      </c>
      <c r="J16">
        <v>34</v>
      </c>
    </row>
    <row r="17" spans="1:10" x14ac:dyDescent="0.3">
      <c r="A17">
        <v>11</v>
      </c>
      <c r="B17" t="s">
        <v>22</v>
      </c>
      <c r="C17" s="1" t="s">
        <v>23</v>
      </c>
      <c r="D17" t="s">
        <v>24</v>
      </c>
      <c r="E17" t="s">
        <v>25</v>
      </c>
      <c r="G17">
        <v>190</v>
      </c>
      <c r="H17">
        <v>100</v>
      </c>
      <c r="I17">
        <v>56</v>
      </c>
      <c r="J17">
        <v>34</v>
      </c>
    </row>
    <row r="18" spans="1:10" x14ac:dyDescent="0.3">
      <c r="A18">
        <v>17</v>
      </c>
      <c r="B18" t="s">
        <v>149</v>
      </c>
      <c r="C18" s="1" t="s">
        <v>150</v>
      </c>
      <c r="D18" t="s">
        <v>151</v>
      </c>
      <c r="E18" t="s">
        <v>152</v>
      </c>
      <c r="G18">
        <v>187</v>
      </c>
      <c r="H18">
        <v>100</v>
      </c>
      <c r="I18">
        <v>44</v>
      </c>
      <c r="J18">
        <v>43</v>
      </c>
    </row>
    <row r="19" spans="1:10" x14ac:dyDescent="0.3">
      <c r="A19">
        <v>18</v>
      </c>
      <c r="B19" t="s">
        <v>335</v>
      </c>
      <c r="C19" s="1" t="s">
        <v>336</v>
      </c>
      <c r="D19" t="s">
        <v>16</v>
      </c>
      <c r="E19" t="s">
        <v>337</v>
      </c>
      <c r="G19">
        <v>181</v>
      </c>
      <c r="H19">
        <v>100</v>
      </c>
      <c r="I19">
        <v>56</v>
      </c>
      <c r="J19">
        <v>25</v>
      </c>
    </row>
    <row r="20" spans="1:10" x14ac:dyDescent="0.3">
      <c r="A20">
        <v>18</v>
      </c>
      <c r="B20" t="s">
        <v>189</v>
      </c>
      <c r="C20" s="1" t="s">
        <v>190</v>
      </c>
      <c r="D20" t="s">
        <v>191</v>
      </c>
      <c r="E20" t="s">
        <v>192</v>
      </c>
      <c r="G20">
        <v>181</v>
      </c>
      <c r="H20">
        <v>100</v>
      </c>
      <c r="I20">
        <v>56</v>
      </c>
      <c r="J20">
        <v>25</v>
      </c>
    </row>
    <row r="21" spans="1:10" x14ac:dyDescent="0.3">
      <c r="A21">
        <v>18</v>
      </c>
      <c r="B21" t="s">
        <v>26</v>
      </c>
      <c r="C21" s="1" t="s">
        <v>27</v>
      </c>
      <c r="D21" t="s">
        <v>28</v>
      </c>
      <c r="E21" t="s">
        <v>29</v>
      </c>
      <c r="G21">
        <v>181</v>
      </c>
      <c r="H21">
        <v>100</v>
      </c>
      <c r="I21">
        <v>56</v>
      </c>
      <c r="J21">
        <v>25</v>
      </c>
    </row>
    <row r="22" spans="1:10" x14ac:dyDescent="0.3">
      <c r="A22">
        <v>21</v>
      </c>
      <c r="B22" t="s">
        <v>33</v>
      </c>
      <c r="C22" s="1" t="s">
        <v>34</v>
      </c>
      <c r="D22" t="s">
        <v>16</v>
      </c>
      <c r="E22" t="s">
        <v>35</v>
      </c>
      <c r="G22">
        <v>180</v>
      </c>
      <c r="H22">
        <v>100</v>
      </c>
      <c r="I22">
        <v>56</v>
      </c>
      <c r="J22">
        <v>24</v>
      </c>
    </row>
    <row r="23" spans="1:10" x14ac:dyDescent="0.3">
      <c r="A23">
        <v>22</v>
      </c>
      <c r="B23" t="s">
        <v>310</v>
      </c>
      <c r="C23" s="1" t="s">
        <v>311</v>
      </c>
      <c r="D23" t="s">
        <v>89</v>
      </c>
      <c r="E23" t="s">
        <v>312</v>
      </c>
      <c r="G23">
        <v>178</v>
      </c>
      <c r="H23">
        <v>100</v>
      </c>
      <c r="I23">
        <v>44</v>
      </c>
      <c r="J23">
        <v>34</v>
      </c>
    </row>
    <row r="24" spans="1:10" x14ac:dyDescent="0.3">
      <c r="A24">
        <v>22</v>
      </c>
      <c r="B24" t="s">
        <v>243</v>
      </c>
      <c r="C24" s="1" t="s">
        <v>244</v>
      </c>
      <c r="D24" t="s">
        <v>191</v>
      </c>
      <c r="E24" t="s">
        <v>245</v>
      </c>
      <c r="G24">
        <v>178</v>
      </c>
      <c r="H24">
        <v>100</v>
      </c>
      <c r="I24">
        <v>20</v>
      </c>
      <c r="J24">
        <v>58</v>
      </c>
    </row>
    <row r="25" spans="1:10" x14ac:dyDescent="0.3">
      <c r="A25">
        <v>22</v>
      </c>
      <c r="B25" t="s">
        <v>351</v>
      </c>
      <c r="C25" s="1" t="s">
        <v>352</v>
      </c>
      <c r="D25" t="s">
        <v>178</v>
      </c>
      <c r="E25" t="s">
        <v>353</v>
      </c>
      <c r="G25">
        <v>178</v>
      </c>
      <c r="H25">
        <v>100</v>
      </c>
      <c r="I25">
        <v>56</v>
      </c>
      <c r="J25">
        <v>22</v>
      </c>
    </row>
    <row r="26" spans="1:10" x14ac:dyDescent="0.3">
      <c r="A26">
        <v>25</v>
      </c>
      <c r="B26" t="s">
        <v>532</v>
      </c>
      <c r="C26" s="1" t="s">
        <v>533</v>
      </c>
      <c r="D26" t="s">
        <v>534</v>
      </c>
      <c r="E26" t="s">
        <v>535</v>
      </c>
      <c r="G26">
        <v>177</v>
      </c>
      <c r="H26">
        <v>100</v>
      </c>
      <c r="I26">
        <v>56</v>
      </c>
      <c r="J26">
        <v>21</v>
      </c>
    </row>
    <row r="27" spans="1:10" x14ac:dyDescent="0.3">
      <c r="A27">
        <v>25</v>
      </c>
      <c r="B27" t="s">
        <v>153</v>
      </c>
      <c r="C27" s="1" t="s">
        <v>154</v>
      </c>
      <c r="D27" t="s">
        <v>155</v>
      </c>
      <c r="E27" t="s">
        <v>156</v>
      </c>
      <c r="G27">
        <v>177</v>
      </c>
      <c r="H27">
        <v>100</v>
      </c>
      <c r="I27">
        <v>56</v>
      </c>
      <c r="J27">
        <v>21</v>
      </c>
    </row>
    <row r="28" spans="1:10" x14ac:dyDescent="0.3">
      <c r="A28">
        <v>27</v>
      </c>
      <c r="B28" t="s">
        <v>160</v>
      </c>
      <c r="C28" s="1" t="s">
        <v>161</v>
      </c>
      <c r="D28" t="s">
        <v>60</v>
      </c>
      <c r="E28" t="s">
        <v>162</v>
      </c>
      <c r="G28">
        <v>169</v>
      </c>
      <c r="H28">
        <v>100</v>
      </c>
      <c r="I28">
        <v>44</v>
      </c>
      <c r="J28">
        <v>25</v>
      </c>
    </row>
    <row r="29" spans="1:10" x14ac:dyDescent="0.3">
      <c r="A29">
        <v>27</v>
      </c>
      <c r="B29" t="s">
        <v>113</v>
      </c>
      <c r="C29" s="1" t="s">
        <v>114</v>
      </c>
      <c r="D29" t="s">
        <v>60</v>
      </c>
      <c r="E29" t="s">
        <v>115</v>
      </c>
      <c r="G29">
        <v>169</v>
      </c>
      <c r="H29">
        <v>100</v>
      </c>
      <c r="I29">
        <v>44</v>
      </c>
      <c r="J29">
        <v>25</v>
      </c>
    </row>
    <row r="30" spans="1:10" x14ac:dyDescent="0.3">
      <c r="A30">
        <v>29</v>
      </c>
      <c r="B30" t="s">
        <v>116</v>
      </c>
      <c r="C30" s="1" t="s">
        <v>117</v>
      </c>
      <c r="D30" t="s">
        <v>118</v>
      </c>
      <c r="E30" t="s">
        <v>119</v>
      </c>
      <c r="G30">
        <v>168</v>
      </c>
      <c r="H30">
        <v>100</v>
      </c>
      <c r="I30">
        <v>56</v>
      </c>
      <c r="J30">
        <v>12</v>
      </c>
    </row>
    <row r="31" spans="1:10" x14ac:dyDescent="0.3">
      <c r="A31">
        <v>29</v>
      </c>
      <c r="B31" t="s">
        <v>240</v>
      </c>
      <c r="C31" s="1" t="s">
        <v>241</v>
      </c>
      <c r="D31" t="s">
        <v>108</v>
      </c>
      <c r="E31" t="s">
        <v>242</v>
      </c>
      <c r="G31">
        <v>168</v>
      </c>
      <c r="H31">
        <v>100</v>
      </c>
      <c r="I31">
        <v>56</v>
      </c>
      <c r="J31">
        <v>12</v>
      </c>
    </row>
    <row r="32" spans="1:10" x14ac:dyDescent="0.3">
      <c r="A32">
        <v>29</v>
      </c>
      <c r="B32" t="s">
        <v>180</v>
      </c>
      <c r="C32" s="1" t="s">
        <v>181</v>
      </c>
      <c r="D32" t="s">
        <v>178</v>
      </c>
      <c r="E32" t="s">
        <v>182</v>
      </c>
      <c r="G32">
        <v>168</v>
      </c>
      <c r="H32">
        <v>100</v>
      </c>
      <c r="I32">
        <v>56</v>
      </c>
      <c r="J32">
        <v>12</v>
      </c>
    </row>
    <row r="33" spans="1:10" x14ac:dyDescent="0.3">
      <c r="A33">
        <v>29</v>
      </c>
      <c r="B33" t="s">
        <v>87</v>
      </c>
      <c r="C33" s="1" t="s">
        <v>88</v>
      </c>
      <c r="D33" t="s">
        <v>89</v>
      </c>
      <c r="E33" t="s">
        <v>90</v>
      </c>
      <c r="G33">
        <v>168</v>
      </c>
      <c r="H33">
        <v>100</v>
      </c>
      <c r="I33">
        <v>56</v>
      </c>
      <c r="J33">
        <v>12</v>
      </c>
    </row>
    <row r="34" spans="1:10" x14ac:dyDescent="0.3">
      <c r="A34">
        <v>29</v>
      </c>
      <c r="B34" t="s">
        <v>183</v>
      </c>
      <c r="C34" s="1" t="s">
        <v>184</v>
      </c>
      <c r="D34" t="s">
        <v>104</v>
      </c>
      <c r="E34" t="s">
        <v>185</v>
      </c>
      <c r="G34">
        <v>168</v>
      </c>
      <c r="H34">
        <v>100</v>
      </c>
      <c r="I34">
        <v>56</v>
      </c>
      <c r="J34">
        <v>12</v>
      </c>
    </row>
    <row r="35" spans="1:10" x14ac:dyDescent="0.3">
      <c r="A35">
        <v>29</v>
      </c>
      <c r="B35" t="s">
        <v>66</v>
      </c>
      <c r="C35" s="1" t="s">
        <v>67</v>
      </c>
      <c r="D35" t="s">
        <v>68</v>
      </c>
      <c r="E35" t="s">
        <v>69</v>
      </c>
      <c r="G35">
        <v>168</v>
      </c>
      <c r="H35">
        <v>100</v>
      </c>
      <c r="I35">
        <v>56</v>
      </c>
      <c r="J35">
        <v>12</v>
      </c>
    </row>
    <row r="36" spans="1:10" x14ac:dyDescent="0.3">
      <c r="A36">
        <v>29</v>
      </c>
      <c r="B36" t="s">
        <v>43</v>
      </c>
      <c r="C36" s="1" t="s">
        <v>44</v>
      </c>
      <c r="D36" t="s">
        <v>24</v>
      </c>
      <c r="E36" t="s">
        <v>45</v>
      </c>
      <c r="G36">
        <v>168</v>
      </c>
      <c r="H36">
        <v>100</v>
      </c>
      <c r="I36">
        <v>56</v>
      </c>
      <c r="J36">
        <v>12</v>
      </c>
    </row>
    <row r="37" spans="1:10" x14ac:dyDescent="0.3">
      <c r="A37">
        <v>29</v>
      </c>
      <c r="B37" t="s">
        <v>260</v>
      </c>
      <c r="C37" s="1" t="s">
        <v>261</v>
      </c>
      <c r="D37" t="s">
        <v>96</v>
      </c>
      <c r="E37" t="s">
        <v>262</v>
      </c>
      <c r="G37">
        <v>168</v>
      </c>
      <c r="H37">
        <v>100</v>
      </c>
      <c r="I37">
        <v>56</v>
      </c>
      <c r="J37">
        <v>12</v>
      </c>
    </row>
    <row r="38" spans="1:10" x14ac:dyDescent="0.3">
      <c r="A38">
        <v>29</v>
      </c>
      <c r="B38" t="s">
        <v>252</v>
      </c>
      <c r="C38" s="1" t="s">
        <v>253</v>
      </c>
      <c r="D38" t="s">
        <v>254</v>
      </c>
      <c r="E38" t="s">
        <v>255</v>
      </c>
      <c r="F38" t="s">
        <v>252</v>
      </c>
      <c r="G38">
        <v>168</v>
      </c>
      <c r="H38">
        <v>100</v>
      </c>
      <c r="I38">
        <v>56</v>
      </c>
      <c r="J38">
        <v>12</v>
      </c>
    </row>
    <row r="39" spans="1:10" x14ac:dyDescent="0.3">
      <c r="A39">
        <v>29</v>
      </c>
      <c r="B39" t="s">
        <v>202</v>
      </c>
      <c r="C39" s="1" t="s">
        <v>203</v>
      </c>
      <c r="D39" t="s">
        <v>81</v>
      </c>
      <c r="E39" t="s">
        <v>204</v>
      </c>
      <c r="G39">
        <v>168</v>
      </c>
      <c r="H39">
        <v>100</v>
      </c>
      <c r="I39">
        <v>44</v>
      </c>
      <c r="J39">
        <v>24</v>
      </c>
    </row>
    <row r="40" spans="1:10" x14ac:dyDescent="0.3">
      <c r="A40">
        <v>29</v>
      </c>
      <c r="B40" t="s">
        <v>170</v>
      </c>
      <c r="C40" s="1" t="s">
        <v>171</v>
      </c>
      <c r="D40" t="s">
        <v>48</v>
      </c>
      <c r="E40" t="s">
        <v>172</v>
      </c>
      <c r="G40">
        <v>168</v>
      </c>
      <c r="H40">
        <v>100</v>
      </c>
      <c r="I40">
        <v>56</v>
      </c>
      <c r="J40">
        <v>12</v>
      </c>
    </row>
    <row r="41" spans="1:10" x14ac:dyDescent="0.3">
      <c r="A41">
        <v>40</v>
      </c>
      <c r="B41" t="s">
        <v>280</v>
      </c>
      <c r="C41" s="1" t="s">
        <v>281</v>
      </c>
      <c r="D41" t="s">
        <v>282</v>
      </c>
      <c r="E41" t="s">
        <v>283</v>
      </c>
      <c r="G41">
        <v>166</v>
      </c>
      <c r="H41">
        <v>100</v>
      </c>
      <c r="I41">
        <v>32</v>
      </c>
      <c r="J41">
        <v>34</v>
      </c>
    </row>
    <row r="42" spans="1:10" x14ac:dyDescent="0.3">
      <c r="A42">
        <v>40</v>
      </c>
      <c r="B42" t="s">
        <v>277</v>
      </c>
      <c r="C42" s="1" t="s">
        <v>278</v>
      </c>
      <c r="D42" t="s">
        <v>60</v>
      </c>
      <c r="E42" t="s">
        <v>279</v>
      </c>
      <c r="G42">
        <v>166</v>
      </c>
      <c r="H42">
        <v>100</v>
      </c>
      <c r="I42">
        <v>32</v>
      </c>
      <c r="J42">
        <v>34</v>
      </c>
    </row>
    <row r="43" spans="1:10" x14ac:dyDescent="0.3">
      <c r="A43">
        <v>40</v>
      </c>
      <c r="B43" t="s">
        <v>293</v>
      </c>
      <c r="C43" s="1" t="s">
        <v>294</v>
      </c>
      <c r="D43" t="s">
        <v>216</v>
      </c>
      <c r="E43" t="s">
        <v>295</v>
      </c>
      <c r="G43">
        <v>166</v>
      </c>
      <c r="H43">
        <v>100</v>
      </c>
      <c r="I43">
        <v>32</v>
      </c>
      <c r="J43">
        <v>34</v>
      </c>
    </row>
    <row r="44" spans="1:10" x14ac:dyDescent="0.3">
      <c r="A44">
        <v>43</v>
      </c>
      <c r="B44" t="s">
        <v>367</v>
      </c>
      <c r="C44" s="1" t="s">
        <v>368</v>
      </c>
      <c r="D44" t="s">
        <v>369</v>
      </c>
      <c r="E44" t="s">
        <v>370</v>
      </c>
      <c r="G44">
        <v>165</v>
      </c>
      <c r="H44">
        <v>100</v>
      </c>
      <c r="I44">
        <v>44</v>
      </c>
      <c r="J44">
        <v>21</v>
      </c>
    </row>
    <row r="45" spans="1:10" x14ac:dyDescent="0.3">
      <c r="A45">
        <v>44</v>
      </c>
      <c r="B45" t="s">
        <v>199</v>
      </c>
      <c r="C45" s="1" t="s">
        <v>200</v>
      </c>
      <c r="D45" t="s">
        <v>28</v>
      </c>
      <c r="E45" t="s">
        <v>201</v>
      </c>
      <c r="G45">
        <v>163</v>
      </c>
      <c r="H45">
        <v>100</v>
      </c>
      <c r="I45">
        <v>32</v>
      </c>
      <c r="J45">
        <v>31</v>
      </c>
    </row>
    <row r="46" spans="1:10" x14ac:dyDescent="0.3">
      <c r="A46">
        <v>45</v>
      </c>
      <c r="B46" t="s">
        <v>246</v>
      </c>
      <c r="C46" s="1" t="s">
        <v>247</v>
      </c>
      <c r="D46" t="s">
        <v>178</v>
      </c>
      <c r="E46" t="s">
        <v>248</v>
      </c>
      <c r="G46">
        <v>157</v>
      </c>
      <c r="H46">
        <v>100</v>
      </c>
      <c r="I46">
        <v>32</v>
      </c>
      <c r="J46">
        <v>25</v>
      </c>
    </row>
    <row r="47" spans="1:10" x14ac:dyDescent="0.3">
      <c r="A47">
        <v>45</v>
      </c>
      <c r="B47" t="s">
        <v>135</v>
      </c>
      <c r="C47" s="1" t="s">
        <v>136</v>
      </c>
      <c r="D47" t="s">
        <v>28</v>
      </c>
      <c r="E47" t="s">
        <v>137</v>
      </c>
      <c r="G47">
        <v>157</v>
      </c>
      <c r="H47">
        <v>100</v>
      </c>
      <c r="I47">
        <v>32</v>
      </c>
      <c r="J47">
        <v>25</v>
      </c>
    </row>
    <row r="48" spans="1:10" x14ac:dyDescent="0.3">
      <c r="A48">
        <v>45</v>
      </c>
      <c r="B48" t="s">
        <v>364</v>
      </c>
      <c r="C48" s="1" t="s">
        <v>365</v>
      </c>
      <c r="D48" t="s">
        <v>12</v>
      </c>
      <c r="E48" t="s">
        <v>366</v>
      </c>
      <c r="G48">
        <v>157</v>
      </c>
      <c r="H48">
        <v>100</v>
      </c>
      <c r="I48">
        <v>32</v>
      </c>
      <c r="J48">
        <v>25</v>
      </c>
    </row>
    <row r="49" spans="1:10" x14ac:dyDescent="0.3">
      <c r="A49">
        <v>45</v>
      </c>
      <c r="B49" t="s">
        <v>18</v>
      </c>
      <c r="C49" s="1" t="s">
        <v>19</v>
      </c>
      <c r="D49" t="s">
        <v>20</v>
      </c>
      <c r="E49" t="s">
        <v>21</v>
      </c>
      <c r="G49">
        <v>157</v>
      </c>
      <c r="H49">
        <v>100</v>
      </c>
      <c r="I49">
        <v>32</v>
      </c>
      <c r="J49">
        <v>25</v>
      </c>
    </row>
    <row r="50" spans="1:10" x14ac:dyDescent="0.3">
      <c r="A50">
        <v>45</v>
      </c>
      <c r="B50" t="s">
        <v>228</v>
      </c>
      <c r="C50" s="1" t="s">
        <v>229</v>
      </c>
      <c r="D50" t="s">
        <v>126</v>
      </c>
      <c r="E50" t="s">
        <v>230</v>
      </c>
      <c r="G50">
        <v>157</v>
      </c>
      <c r="H50">
        <v>100</v>
      </c>
      <c r="I50">
        <v>32</v>
      </c>
      <c r="J50">
        <v>25</v>
      </c>
    </row>
    <row r="51" spans="1:10" x14ac:dyDescent="0.3">
      <c r="A51">
        <v>45</v>
      </c>
      <c r="B51" t="s">
        <v>124</v>
      </c>
      <c r="C51" s="1" t="s">
        <v>125</v>
      </c>
      <c r="D51" t="s">
        <v>126</v>
      </c>
      <c r="E51" t="s">
        <v>127</v>
      </c>
      <c r="G51">
        <v>157</v>
      </c>
      <c r="H51">
        <v>100</v>
      </c>
      <c r="I51">
        <v>32</v>
      </c>
      <c r="J51">
        <v>25</v>
      </c>
    </row>
    <row r="52" spans="1:10" x14ac:dyDescent="0.3">
      <c r="A52">
        <v>45</v>
      </c>
      <c r="B52" t="s">
        <v>299</v>
      </c>
      <c r="C52" s="1" t="s">
        <v>300</v>
      </c>
      <c r="D52" t="s">
        <v>301</v>
      </c>
      <c r="E52" t="s">
        <v>302</v>
      </c>
      <c r="G52">
        <v>157</v>
      </c>
      <c r="H52">
        <v>100</v>
      </c>
      <c r="I52">
        <v>32</v>
      </c>
      <c r="J52">
        <v>25</v>
      </c>
    </row>
    <row r="53" spans="1:10" x14ac:dyDescent="0.3">
      <c r="A53">
        <v>45</v>
      </c>
      <c r="B53" t="s">
        <v>536</v>
      </c>
      <c r="C53" s="1" t="s">
        <v>537</v>
      </c>
      <c r="D53" t="s">
        <v>191</v>
      </c>
      <c r="E53" t="s">
        <v>538</v>
      </c>
      <c r="G53">
        <v>157</v>
      </c>
      <c r="H53">
        <v>100</v>
      </c>
      <c r="I53">
        <v>32</v>
      </c>
      <c r="J53">
        <v>25</v>
      </c>
    </row>
    <row r="54" spans="1:10" x14ac:dyDescent="0.3">
      <c r="A54">
        <v>53</v>
      </c>
      <c r="B54" t="s">
        <v>507</v>
      </c>
      <c r="C54" s="1" t="s">
        <v>508</v>
      </c>
      <c r="D54" t="s">
        <v>16</v>
      </c>
      <c r="E54" t="s">
        <v>509</v>
      </c>
      <c r="G54">
        <v>156</v>
      </c>
      <c r="H54">
        <v>100</v>
      </c>
      <c r="I54">
        <v>44</v>
      </c>
      <c r="J54">
        <v>12</v>
      </c>
    </row>
    <row r="55" spans="1:10" x14ac:dyDescent="0.3">
      <c r="A55">
        <v>53</v>
      </c>
      <c r="B55" t="s">
        <v>539</v>
      </c>
      <c r="C55" s="1" t="s">
        <v>540</v>
      </c>
      <c r="D55" t="s">
        <v>541</v>
      </c>
      <c r="E55" t="s">
        <v>542</v>
      </c>
      <c r="G55">
        <v>156</v>
      </c>
      <c r="H55">
        <v>100</v>
      </c>
      <c r="I55">
        <v>44</v>
      </c>
      <c r="J55">
        <v>12</v>
      </c>
    </row>
    <row r="56" spans="1:10" x14ac:dyDescent="0.3">
      <c r="A56">
        <v>53</v>
      </c>
      <c r="B56" t="s">
        <v>62</v>
      </c>
      <c r="C56" s="1" t="s">
        <v>63</v>
      </c>
      <c r="D56" t="s">
        <v>64</v>
      </c>
      <c r="E56" t="s">
        <v>65</v>
      </c>
      <c r="G56">
        <v>156</v>
      </c>
      <c r="H56">
        <v>100</v>
      </c>
      <c r="I56">
        <v>44</v>
      </c>
      <c r="J56">
        <v>12</v>
      </c>
    </row>
    <row r="57" spans="1:10" x14ac:dyDescent="0.3">
      <c r="A57">
        <v>53</v>
      </c>
      <c r="B57" t="s">
        <v>173</v>
      </c>
      <c r="C57" s="1" t="s">
        <v>174</v>
      </c>
      <c r="D57" t="s">
        <v>133</v>
      </c>
      <c r="E57" t="s">
        <v>175</v>
      </c>
      <c r="G57">
        <v>156</v>
      </c>
      <c r="H57">
        <v>100</v>
      </c>
      <c r="I57">
        <v>44</v>
      </c>
      <c r="J57">
        <v>12</v>
      </c>
    </row>
    <row r="58" spans="1:10" x14ac:dyDescent="0.3">
      <c r="A58">
        <v>53</v>
      </c>
      <c r="B58" t="s">
        <v>433</v>
      </c>
      <c r="C58" s="1" t="s">
        <v>434</v>
      </c>
      <c r="D58" t="s">
        <v>81</v>
      </c>
      <c r="E58" t="s">
        <v>435</v>
      </c>
      <c r="G58">
        <v>156</v>
      </c>
      <c r="H58">
        <v>100</v>
      </c>
      <c r="I58">
        <v>44</v>
      </c>
      <c r="J58">
        <v>12</v>
      </c>
    </row>
    <row r="59" spans="1:10" x14ac:dyDescent="0.3">
      <c r="A59">
        <v>53</v>
      </c>
      <c r="B59" t="s">
        <v>106</v>
      </c>
      <c r="C59" s="1" t="s">
        <v>107</v>
      </c>
      <c r="D59" t="s">
        <v>108</v>
      </c>
      <c r="E59" t="s">
        <v>109</v>
      </c>
      <c r="G59">
        <v>156</v>
      </c>
      <c r="H59">
        <v>100</v>
      </c>
      <c r="I59">
        <v>56</v>
      </c>
      <c r="J59">
        <v>0</v>
      </c>
    </row>
    <row r="60" spans="1:10" x14ac:dyDescent="0.3">
      <c r="A60">
        <v>59</v>
      </c>
      <c r="B60" t="s">
        <v>211</v>
      </c>
      <c r="C60" s="1" t="s">
        <v>212</v>
      </c>
      <c r="D60" t="s">
        <v>147</v>
      </c>
      <c r="E60" t="s">
        <v>213</v>
      </c>
      <c r="G60">
        <v>154</v>
      </c>
      <c r="H60">
        <v>100</v>
      </c>
      <c r="I60">
        <v>44</v>
      </c>
      <c r="J60">
        <v>10</v>
      </c>
    </row>
    <row r="61" spans="1:10" x14ac:dyDescent="0.3">
      <c r="A61">
        <v>60</v>
      </c>
      <c r="B61" t="s">
        <v>218</v>
      </c>
      <c r="C61" s="1" t="s">
        <v>219</v>
      </c>
      <c r="D61" t="s">
        <v>16</v>
      </c>
      <c r="E61" t="s">
        <v>220</v>
      </c>
      <c r="G61">
        <v>153</v>
      </c>
      <c r="H61">
        <v>100</v>
      </c>
      <c r="I61">
        <v>32</v>
      </c>
      <c r="J61">
        <v>21</v>
      </c>
    </row>
    <row r="62" spans="1:10" x14ac:dyDescent="0.3">
      <c r="A62">
        <v>60</v>
      </c>
      <c r="B62" t="s">
        <v>329</v>
      </c>
      <c r="C62" s="1" t="s">
        <v>330</v>
      </c>
      <c r="D62" t="s">
        <v>216</v>
      </c>
      <c r="E62" t="s">
        <v>331</v>
      </c>
      <c r="G62">
        <v>153</v>
      </c>
      <c r="H62">
        <v>100</v>
      </c>
      <c r="I62">
        <v>32</v>
      </c>
      <c r="J62">
        <v>21</v>
      </c>
    </row>
    <row r="63" spans="1:10" x14ac:dyDescent="0.3">
      <c r="A63">
        <v>62</v>
      </c>
      <c r="B63" t="s">
        <v>296</v>
      </c>
      <c r="C63" s="1" t="s">
        <v>297</v>
      </c>
      <c r="D63" t="s">
        <v>178</v>
      </c>
      <c r="E63" t="s">
        <v>298</v>
      </c>
      <c r="G63">
        <v>152</v>
      </c>
      <c r="H63">
        <v>100</v>
      </c>
      <c r="I63">
        <v>32</v>
      </c>
      <c r="J63">
        <v>20</v>
      </c>
    </row>
    <row r="64" spans="1:10" x14ac:dyDescent="0.3">
      <c r="A64">
        <v>62</v>
      </c>
      <c r="B64" t="s">
        <v>128</v>
      </c>
      <c r="C64" s="1" t="s">
        <v>129</v>
      </c>
      <c r="D64" t="s">
        <v>89</v>
      </c>
      <c r="E64" t="s">
        <v>130</v>
      </c>
      <c r="G64">
        <v>152</v>
      </c>
      <c r="H64">
        <v>100</v>
      </c>
      <c r="I64">
        <v>44</v>
      </c>
      <c r="J64">
        <v>8</v>
      </c>
    </row>
    <row r="65" spans="1:10" x14ac:dyDescent="0.3">
      <c r="A65">
        <v>64</v>
      </c>
      <c r="B65" t="s">
        <v>14</v>
      </c>
      <c r="C65" s="1" t="s">
        <v>15</v>
      </c>
      <c r="D65" t="s">
        <v>16</v>
      </c>
      <c r="E65" t="s">
        <v>17</v>
      </c>
      <c r="G65">
        <v>148</v>
      </c>
      <c r="H65">
        <v>100</v>
      </c>
      <c r="I65">
        <v>44</v>
      </c>
      <c r="J65">
        <v>4</v>
      </c>
    </row>
    <row r="66" spans="1:10" x14ac:dyDescent="0.3">
      <c r="A66">
        <v>65</v>
      </c>
      <c r="B66" t="s">
        <v>543</v>
      </c>
      <c r="C66" s="1" t="s">
        <v>544</v>
      </c>
      <c r="D66" t="s">
        <v>191</v>
      </c>
      <c r="E66" t="s">
        <v>545</v>
      </c>
      <c r="G66">
        <v>147</v>
      </c>
      <c r="H66">
        <v>100</v>
      </c>
      <c r="I66">
        <v>32</v>
      </c>
      <c r="J66">
        <v>15</v>
      </c>
    </row>
    <row r="67" spans="1:10" x14ac:dyDescent="0.3">
      <c r="A67">
        <v>65</v>
      </c>
      <c r="B67" t="s">
        <v>371</v>
      </c>
      <c r="C67" s="1" t="s">
        <v>372</v>
      </c>
      <c r="D67" t="s">
        <v>178</v>
      </c>
      <c r="E67" t="s">
        <v>373</v>
      </c>
      <c r="G67">
        <v>147</v>
      </c>
      <c r="H67">
        <v>100</v>
      </c>
      <c r="I67">
        <v>32</v>
      </c>
      <c r="J67">
        <v>15</v>
      </c>
    </row>
    <row r="68" spans="1:10" x14ac:dyDescent="0.3">
      <c r="A68">
        <v>65</v>
      </c>
      <c r="B68" t="s">
        <v>208</v>
      </c>
      <c r="C68" s="1" t="s">
        <v>209</v>
      </c>
      <c r="D68" t="s">
        <v>16</v>
      </c>
      <c r="E68" t="s">
        <v>210</v>
      </c>
      <c r="G68">
        <v>147</v>
      </c>
      <c r="H68">
        <v>100</v>
      </c>
      <c r="I68">
        <v>32</v>
      </c>
      <c r="J68">
        <v>15</v>
      </c>
    </row>
    <row r="69" spans="1:10" x14ac:dyDescent="0.3">
      <c r="A69">
        <v>68</v>
      </c>
      <c r="B69" t="s">
        <v>176</v>
      </c>
      <c r="C69" s="1" t="s">
        <v>177</v>
      </c>
      <c r="D69" t="s">
        <v>178</v>
      </c>
      <c r="E69" t="s">
        <v>179</v>
      </c>
      <c r="G69">
        <v>145</v>
      </c>
      <c r="H69">
        <v>100</v>
      </c>
      <c r="I69">
        <v>20</v>
      </c>
      <c r="J69">
        <v>25</v>
      </c>
    </row>
    <row r="70" spans="1:10" x14ac:dyDescent="0.3">
      <c r="A70">
        <v>69</v>
      </c>
      <c r="B70" t="s">
        <v>313</v>
      </c>
      <c r="C70" s="1" t="s">
        <v>314</v>
      </c>
      <c r="D70" t="s">
        <v>315</v>
      </c>
      <c r="E70" t="s">
        <v>316</v>
      </c>
      <c r="G70">
        <v>144</v>
      </c>
      <c r="H70">
        <v>100</v>
      </c>
      <c r="I70">
        <v>32</v>
      </c>
      <c r="J70">
        <v>12</v>
      </c>
    </row>
    <row r="71" spans="1:10" x14ac:dyDescent="0.3">
      <c r="A71">
        <v>69</v>
      </c>
      <c r="B71" t="s">
        <v>344</v>
      </c>
      <c r="C71" s="1" t="s">
        <v>345</v>
      </c>
      <c r="D71" t="s">
        <v>346</v>
      </c>
      <c r="E71" t="s">
        <v>347</v>
      </c>
      <c r="G71">
        <v>144</v>
      </c>
      <c r="H71">
        <v>100</v>
      </c>
      <c r="I71">
        <v>32</v>
      </c>
      <c r="J71">
        <v>12</v>
      </c>
    </row>
    <row r="72" spans="1:10" x14ac:dyDescent="0.3">
      <c r="A72">
        <v>69</v>
      </c>
      <c r="B72" t="s">
        <v>385</v>
      </c>
      <c r="C72" s="1" t="s">
        <v>386</v>
      </c>
      <c r="D72" t="s">
        <v>346</v>
      </c>
      <c r="E72" t="s">
        <v>387</v>
      </c>
      <c r="G72">
        <v>144</v>
      </c>
      <c r="H72">
        <v>100</v>
      </c>
      <c r="I72">
        <v>44</v>
      </c>
      <c r="J72">
        <v>0</v>
      </c>
    </row>
    <row r="73" spans="1:10" x14ac:dyDescent="0.3">
      <c r="A73">
        <v>69</v>
      </c>
      <c r="B73" t="s">
        <v>473</v>
      </c>
      <c r="C73" s="1" t="s">
        <v>474</v>
      </c>
      <c r="D73" t="s">
        <v>100</v>
      </c>
      <c r="E73" t="s">
        <v>475</v>
      </c>
      <c r="G73">
        <v>144</v>
      </c>
      <c r="H73">
        <v>100</v>
      </c>
      <c r="I73">
        <v>32</v>
      </c>
      <c r="J73">
        <v>12</v>
      </c>
    </row>
    <row r="74" spans="1:10" x14ac:dyDescent="0.3">
      <c r="A74">
        <v>69</v>
      </c>
      <c r="B74" t="s">
        <v>497</v>
      </c>
      <c r="C74" s="1" t="s">
        <v>498</v>
      </c>
      <c r="D74" t="s">
        <v>282</v>
      </c>
      <c r="E74" t="s">
        <v>499</v>
      </c>
      <c r="G74">
        <v>144</v>
      </c>
      <c r="H74">
        <v>100</v>
      </c>
      <c r="I74">
        <v>44</v>
      </c>
      <c r="J74">
        <v>0</v>
      </c>
    </row>
    <row r="75" spans="1:10" x14ac:dyDescent="0.3">
      <c r="A75">
        <v>69</v>
      </c>
      <c r="B75" t="s">
        <v>354</v>
      </c>
      <c r="C75" s="1" t="s">
        <v>355</v>
      </c>
      <c r="D75" t="s">
        <v>223</v>
      </c>
      <c r="E75" t="s">
        <v>356</v>
      </c>
      <c r="G75">
        <v>144</v>
      </c>
      <c r="H75">
        <v>100</v>
      </c>
      <c r="I75">
        <v>32</v>
      </c>
      <c r="J75">
        <v>12</v>
      </c>
    </row>
    <row r="76" spans="1:10" x14ac:dyDescent="0.3">
      <c r="A76">
        <v>69</v>
      </c>
      <c r="B76" t="s">
        <v>237</v>
      </c>
      <c r="C76" s="1" t="s">
        <v>238</v>
      </c>
      <c r="D76" t="s">
        <v>216</v>
      </c>
      <c r="E76" t="s">
        <v>239</v>
      </c>
      <c r="G76">
        <v>144</v>
      </c>
      <c r="H76">
        <v>100</v>
      </c>
      <c r="I76">
        <v>32</v>
      </c>
      <c r="J76">
        <v>12</v>
      </c>
    </row>
    <row r="77" spans="1:10" x14ac:dyDescent="0.3">
      <c r="A77">
        <v>69</v>
      </c>
      <c r="B77" t="s">
        <v>447</v>
      </c>
      <c r="C77" s="1" t="s">
        <v>448</v>
      </c>
      <c r="D77" t="s">
        <v>81</v>
      </c>
      <c r="E77" t="s">
        <v>449</v>
      </c>
      <c r="G77">
        <v>144</v>
      </c>
      <c r="H77">
        <v>100</v>
      </c>
      <c r="I77">
        <v>44</v>
      </c>
      <c r="J77">
        <v>0</v>
      </c>
    </row>
    <row r="78" spans="1:10" x14ac:dyDescent="0.3">
      <c r="A78">
        <v>69</v>
      </c>
      <c r="B78" t="s">
        <v>488</v>
      </c>
      <c r="C78" s="1" t="s">
        <v>489</v>
      </c>
      <c r="D78" t="s">
        <v>362</v>
      </c>
      <c r="E78" t="s">
        <v>490</v>
      </c>
      <c r="G78">
        <v>144</v>
      </c>
      <c r="H78">
        <v>100</v>
      </c>
      <c r="I78">
        <v>32</v>
      </c>
      <c r="J78">
        <v>12</v>
      </c>
    </row>
    <row r="79" spans="1:10" x14ac:dyDescent="0.3">
      <c r="A79">
        <v>69</v>
      </c>
      <c r="B79" t="s">
        <v>332</v>
      </c>
      <c r="C79" s="1" t="s">
        <v>333</v>
      </c>
      <c r="D79" t="s">
        <v>20</v>
      </c>
      <c r="E79" t="s">
        <v>334</v>
      </c>
      <c r="G79">
        <v>144</v>
      </c>
      <c r="H79">
        <v>100</v>
      </c>
      <c r="I79">
        <v>32</v>
      </c>
      <c r="J79">
        <v>12</v>
      </c>
    </row>
    <row r="80" spans="1:10" x14ac:dyDescent="0.3">
      <c r="A80">
        <v>69</v>
      </c>
      <c r="B80" t="s">
        <v>526</v>
      </c>
      <c r="C80" s="1" t="s">
        <v>527</v>
      </c>
      <c r="D80" t="s">
        <v>81</v>
      </c>
      <c r="E80" t="s">
        <v>528</v>
      </c>
      <c r="G80">
        <v>144</v>
      </c>
      <c r="H80">
        <v>100</v>
      </c>
      <c r="I80">
        <v>32</v>
      </c>
      <c r="J80">
        <v>12</v>
      </c>
    </row>
    <row r="81" spans="1:10" x14ac:dyDescent="0.3">
      <c r="A81">
        <v>69</v>
      </c>
      <c r="B81" t="s">
        <v>166</v>
      </c>
      <c r="C81" s="1" t="s">
        <v>167</v>
      </c>
      <c r="D81" t="s">
        <v>168</v>
      </c>
      <c r="E81" t="s">
        <v>169</v>
      </c>
      <c r="G81">
        <v>144</v>
      </c>
      <c r="H81">
        <v>100</v>
      </c>
      <c r="I81">
        <v>44</v>
      </c>
      <c r="J81">
        <v>0</v>
      </c>
    </row>
    <row r="82" spans="1:10" x14ac:dyDescent="0.3">
      <c r="A82">
        <v>81</v>
      </c>
      <c r="B82" t="s">
        <v>193</v>
      </c>
      <c r="C82" s="1" t="s">
        <v>194</v>
      </c>
      <c r="D82" t="s">
        <v>60</v>
      </c>
      <c r="E82" t="s">
        <v>195</v>
      </c>
      <c r="G82">
        <v>143</v>
      </c>
      <c r="H82">
        <v>100</v>
      </c>
      <c r="I82">
        <v>0</v>
      </c>
      <c r="J82">
        <v>43</v>
      </c>
    </row>
    <row r="83" spans="1:10" x14ac:dyDescent="0.3">
      <c r="A83">
        <v>82</v>
      </c>
      <c r="B83" t="s">
        <v>406</v>
      </c>
      <c r="C83" s="1" t="s">
        <v>407</v>
      </c>
      <c r="D83" t="s">
        <v>178</v>
      </c>
      <c r="E83" t="s">
        <v>408</v>
      </c>
      <c r="G83">
        <v>142</v>
      </c>
      <c r="H83">
        <v>100</v>
      </c>
      <c r="I83">
        <v>8</v>
      </c>
      <c r="J83">
        <v>34</v>
      </c>
    </row>
    <row r="84" spans="1:10" x14ac:dyDescent="0.3">
      <c r="A84">
        <v>83</v>
      </c>
      <c r="B84" t="s">
        <v>102</v>
      </c>
      <c r="C84" s="1" t="s">
        <v>103</v>
      </c>
      <c r="D84" t="s">
        <v>104</v>
      </c>
      <c r="E84" t="s">
        <v>105</v>
      </c>
      <c r="G84">
        <v>141</v>
      </c>
      <c r="H84">
        <v>100</v>
      </c>
      <c r="I84">
        <v>20</v>
      </c>
      <c r="J84">
        <v>21</v>
      </c>
    </row>
    <row r="85" spans="1:10" x14ac:dyDescent="0.3">
      <c r="A85">
        <v>84</v>
      </c>
      <c r="B85" t="s">
        <v>326</v>
      </c>
      <c r="C85" s="1" t="s">
        <v>327</v>
      </c>
      <c r="D85" t="s">
        <v>223</v>
      </c>
      <c r="E85" t="s">
        <v>328</v>
      </c>
      <c r="G85">
        <v>138</v>
      </c>
      <c r="H85">
        <v>70</v>
      </c>
      <c r="I85">
        <v>56</v>
      </c>
      <c r="J85">
        <v>12</v>
      </c>
    </row>
    <row r="86" spans="1:10" x14ac:dyDescent="0.3">
      <c r="A86">
        <v>85</v>
      </c>
      <c r="B86" t="s">
        <v>459</v>
      </c>
      <c r="C86" s="1" t="s">
        <v>460</v>
      </c>
      <c r="D86" t="s">
        <v>461</v>
      </c>
      <c r="E86" t="s">
        <v>462</v>
      </c>
      <c r="G86">
        <v>135</v>
      </c>
      <c r="H86">
        <v>100</v>
      </c>
      <c r="I86">
        <v>20</v>
      </c>
      <c r="J86">
        <v>15</v>
      </c>
    </row>
    <row r="87" spans="1:10" x14ac:dyDescent="0.3">
      <c r="A87">
        <v>85</v>
      </c>
      <c r="B87" t="s">
        <v>205</v>
      </c>
      <c r="C87" s="1" t="s">
        <v>206</v>
      </c>
      <c r="D87" t="s">
        <v>89</v>
      </c>
      <c r="E87" t="s">
        <v>207</v>
      </c>
      <c r="G87">
        <v>135</v>
      </c>
      <c r="H87">
        <v>100</v>
      </c>
      <c r="I87">
        <v>20</v>
      </c>
      <c r="J87">
        <v>15</v>
      </c>
    </row>
    <row r="88" spans="1:10" x14ac:dyDescent="0.3">
      <c r="A88">
        <v>87</v>
      </c>
      <c r="B88" t="s">
        <v>39</v>
      </c>
      <c r="C88" s="1" t="s">
        <v>40</v>
      </c>
      <c r="D88" t="s">
        <v>41</v>
      </c>
      <c r="E88" t="s">
        <v>42</v>
      </c>
      <c r="G88">
        <v>134</v>
      </c>
      <c r="H88">
        <v>100</v>
      </c>
      <c r="I88">
        <v>0</v>
      </c>
      <c r="J88">
        <v>34</v>
      </c>
    </row>
    <row r="89" spans="1:10" x14ac:dyDescent="0.3">
      <c r="A89">
        <v>88</v>
      </c>
      <c r="B89" t="s">
        <v>400</v>
      </c>
      <c r="C89" s="1" t="s">
        <v>401</v>
      </c>
      <c r="D89" t="s">
        <v>89</v>
      </c>
      <c r="E89" t="s">
        <v>402</v>
      </c>
      <c r="G89">
        <v>132</v>
      </c>
      <c r="H89">
        <v>100</v>
      </c>
      <c r="I89">
        <v>32</v>
      </c>
      <c r="J89">
        <v>0</v>
      </c>
    </row>
    <row r="90" spans="1:10" x14ac:dyDescent="0.3">
      <c r="A90">
        <v>88</v>
      </c>
      <c r="B90" t="s">
        <v>221</v>
      </c>
      <c r="C90" s="1" t="s">
        <v>222</v>
      </c>
      <c r="D90" t="s">
        <v>223</v>
      </c>
      <c r="E90" t="s">
        <v>224</v>
      </c>
      <c r="G90">
        <v>132</v>
      </c>
      <c r="H90">
        <v>100</v>
      </c>
      <c r="I90">
        <v>32</v>
      </c>
      <c r="J90">
        <v>0</v>
      </c>
    </row>
    <row r="91" spans="1:10" x14ac:dyDescent="0.3">
      <c r="A91">
        <v>88</v>
      </c>
      <c r="B91" t="s">
        <v>436</v>
      </c>
      <c r="C91" s="1" t="s">
        <v>437</v>
      </c>
      <c r="D91" t="s">
        <v>438</v>
      </c>
      <c r="E91" t="s">
        <v>439</v>
      </c>
      <c r="G91">
        <v>132</v>
      </c>
      <c r="H91">
        <v>100</v>
      </c>
      <c r="I91">
        <v>32</v>
      </c>
      <c r="J91">
        <v>0</v>
      </c>
    </row>
    <row r="92" spans="1:10" x14ac:dyDescent="0.3">
      <c r="A92">
        <v>88</v>
      </c>
      <c r="B92" t="s">
        <v>427</v>
      </c>
      <c r="C92" s="1" t="s">
        <v>428</v>
      </c>
      <c r="D92" t="s">
        <v>254</v>
      </c>
      <c r="E92" t="s">
        <v>429</v>
      </c>
      <c r="G92">
        <v>132</v>
      </c>
      <c r="H92">
        <v>100</v>
      </c>
      <c r="I92">
        <v>32</v>
      </c>
      <c r="J92">
        <v>0</v>
      </c>
    </row>
    <row r="93" spans="1:10" x14ac:dyDescent="0.3">
      <c r="A93">
        <v>88</v>
      </c>
      <c r="B93" t="s">
        <v>482</v>
      </c>
      <c r="C93" s="1" t="s">
        <v>483</v>
      </c>
      <c r="D93" t="s">
        <v>24</v>
      </c>
      <c r="E93" t="s">
        <v>484</v>
      </c>
      <c r="G93">
        <v>132</v>
      </c>
      <c r="H93">
        <v>100</v>
      </c>
      <c r="I93">
        <v>32</v>
      </c>
      <c r="J93">
        <v>0</v>
      </c>
    </row>
    <row r="94" spans="1:10" x14ac:dyDescent="0.3">
      <c r="A94">
        <v>88</v>
      </c>
      <c r="B94" t="s">
        <v>54</v>
      </c>
      <c r="C94" s="1" t="s">
        <v>55</v>
      </c>
      <c r="D94" t="s">
        <v>56</v>
      </c>
      <c r="E94" t="s">
        <v>57</v>
      </c>
      <c r="G94">
        <v>132</v>
      </c>
      <c r="H94">
        <v>100</v>
      </c>
      <c r="I94">
        <v>20</v>
      </c>
      <c r="J94">
        <v>12</v>
      </c>
    </row>
    <row r="95" spans="1:10" x14ac:dyDescent="0.3">
      <c r="A95">
        <v>88</v>
      </c>
      <c r="B95" t="s">
        <v>479</v>
      </c>
      <c r="C95" s="1" t="s">
        <v>480</v>
      </c>
      <c r="D95" t="s">
        <v>81</v>
      </c>
      <c r="E95" t="s">
        <v>481</v>
      </c>
      <c r="G95">
        <v>132</v>
      </c>
      <c r="H95">
        <v>100</v>
      </c>
      <c r="I95">
        <v>20</v>
      </c>
      <c r="J95">
        <v>12</v>
      </c>
    </row>
    <row r="96" spans="1:10" x14ac:dyDescent="0.3">
      <c r="A96">
        <v>88</v>
      </c>
      <c r="B96" t="s">
        <v>269</v>
      </c>
      <c r="C96" s="1" t="s">
        <v>270</v>
      </c>
      <c r="D96" t="s">
        <v>81</v>
      </c>
      <c r="E96" t="s">
        <v>271</v>
      </c>
      <c r="G96">
        <v>132</v>
      </c>
      <c r="H96">
        <v>100</v>
      </c>
      <c r="I96">
        <v>32</v>
      </c>
      <c r="J96">
        <v>0</v>
      </c>
    </row>
    <row r="97" spans="1:10" x14ac:dyDescent="0.3">
      <c r="A97">
        <v>96</v>
      </c>
      <c r="B97" t="s">
        <v>360</v>
      </c>
      <c r="C97" s="1" t="s">
        <v>361</v>
      </c>
      <c r="D97" t="s">
        <v>362</v>
      </c>
      <c r="E97" t="s">
        <v>363</v>
      </c>
      <c r="G97">
        <v>129</v>
      </c>
      <c r="H97">
        <v>100</v>
      </c>
      <c r="I97">
        <v>0</v>
      </c>
      <c r="J97">
        <v>29</v>
      </c>
    </row>
    <row r="98" spans="1:10" x14ac:dyDescent="0.3">
      <c r="A98">
        <v>97</v>
      </c>
      <c r="B98" t="s">
        <v>120</v>
      </c>
      <c r="C98" s="1" t="s">
        <v>121</v>
      </c>
      <c r="D98" t="s">
        <v>122</v>
      </c>
      <c r="E98" t="s">
        <v>123</v>
      </c>
      <c r="G98">
        <v>125</v>
      </c>
      <c r="H98">
        <v>100</v>
      </c>
      <c r="I98">
        <v>0</v>
      </c>
      <c r="J98">
        <v>25</v>
      </c>
    </row>
    <row r="99" spans="1:10" x14ac:dyDescent="0.3">
      <c r="A99">
        <v>97</v>
      </c>
      <c r="B99" t="s">
        <v>110</v>
      </c>
      <c r="C99" s="1" t="s">
        <v>111</v>
      </c>
      <c r="D99" t="s">
        <v>96</v>
      </c>
      <c r="E99" t="s">
        <v>112</v>
      </c>
      <c r="G99">
        <v>125</v>
      </c>
      <c r="H99">
        <v>100</v>
      </c>
      <c r="I99">
        <v>0</v>
      </c>
      <c r="J99">
        <v>25</v>
      </c>
    </row>
    <row r="100" spans="1:10" x14ac:dyDescent="0.3">
      <c r="A100">
        <v>97</v>
      </c>
      <c r="B100" t="s">
        <v>157</v>
      </c>
      <c r="C100" s="1" t="s">
        <v>158</v>
      </c>
      <c r="D100" t="s">
        <v>81</v>
      </c>
      <c r="E100" t="s">
        <v>159</v>
      </c>
      <c r="G100">
        <v>125</v>
      </c>
      <c r="H100">
        <v>100</v>
      </c>
      <c r="I100">
        <v>0</v>
      </c>
      <c r="J100">
        <v>25</v>
      </c>
    </row>
    <row r="101" spans="1:10" x14ac:dyDescent="0.3">
      <c r="A101">
        <v>100</v>
      </c>
      <c r="B101" t="s">
        <v>196</v>
      </c>
      <c r="C101" s="1" t="s">
        <v>197</v>
      </c>
      <c r="D101" t="s">
        <v>20</v>
      </c>
      <c r="E101" t="s">
        <v>198</v>
      </c>
      <c r="G101">
        <v>123</v>
      </c>
      <c r="H101">
        <v>100</v>
      </c>
      <c r="I101">
        <v>8</v>
      </c>
      <c r="J101">
        <v>15</v>
      </c>
    </row>
    <row r="102" spans="1:10" x14ac:dyDescent="0.3">
      <c r="A102">
        <v>101</v>
      </c>
      <c r="B102" t="s">
        <v>513</v>
      </c>
      <c r="C102" s="1" t="s">
        <v>514</v>
      </c>
      <c r="D102" t="s">
        <v>108</v>
      </c>
      <c r="E102" t="s">
        <v>515</v>
      </c>
      <c r="G102">
        <v>120</v>
      </c>
      <c r="H102">
        <v>100</v>
      </c>
      <c r="I102">
        <v>0</v>
      </c>
      <c r="J102">
        <v>20</v>
      </c>
    </row>
    <row r="103" spans="1:10" x14ac:dyDescent="0.3">
      <c r="A103">
        <v>101</v>
      </c>
      <c r="B103" t="s">
        <v>320</v>
      </c>
      <c r="C103" s="1" t="s">
        <v>321</v>
      </c>
      <c r="D103" t="s">
        <v>52</v>
      </c>
      <c r="E103" t="s">
        <v>322</v>
      </c>
      <c r="G103">
        <v>120</v>
      </c>
      <c r="H103">
        <v>100</v>
      </c>
      <c r="I103">
        <v>20</v>
      </c>
      <c r="J103">
        <v>0</v>
      </c>
    </row>
    <row r="104" spans="1:10" x14ac:dyDescent="0.3">
      <c r="A104">
        <v>101</v>
      </c>
      <c r="B104" t="s">
        <v>444</v>
      </c>
      <c r="C104" s="1" t="s">
        <v>445</v>
      </c>
      <c r="D104" t="s">
        <v>223</v>
      </c>
      <c r="E104" t="s">
        <v>446</v>
      </c>
      <c r="G104">
        <v>120</v>
      </c>
      <c r="H104">
        <v>100</v>
      </c>
      <c r="I104">
        <v>8</v>
      </c>
      <c r="J104">
        <v>12</v>
      </c>
    </row>
    <row r="105" spans="1:10" x14ac:dyDescent="0.3">
      <c r="A105">
        <v>101</v>
      </c>
      <c r="B105" t="s">
        <v>145</v>
      </c>
      <c r="C105" s="1" t="s">
        <v>146</v>
      </c>
      <c r="D105" t="s">
        <v>147</v>
      </c>
      <c r="E105" t="s">
        <v>148</v>
      </c>
      <c r="G105">
        <v>120</v>
      </c>
      <c r="H105">
        <v>100</v>
      </c>
      <c r="I105">
        <v>20</v>
      </c>
      <c r="J105">
        <v>0</v>
      </c>
    </row>
    <row r="106" spans="1:10" x14ac:dyDescent="0.3">
      <c r="A106">
        <v>101</v>
      </c>
      <c r="B106" t="s">
        <v>249</v>
      </c>
      <c r="C106" s="1" t="s">
        <v>250</v>
      </c>
      <c r="D106" t="s">
        <v>191</v>
      </c>
      <c r="E106" t="s">
        <v>251</v>
      </c>
      <c r="G106">
        <v>120</v>
      </c>
      <c r="H106">
        <v>100</v>
      </c>
      <c r="I106">
        <v>0</v>
      </c>
      <c r="J106">
        <v>20</v>
      </c>
    </row>
    <row r="107" spans="1:10" x14ac:dyDescent="0.3">
      <c r="A107">
        <v>101</v>
      </c>
      <c r="B107" t="s">
        <v>430</v>
      </c>
      <c r="C107" s="1" t="s">
        <v>431</v>
      </c>
      <c r="D107" t="s">
        <v>258</v>
      </c>
      <c r="E107" t="s">
        <v>432</v>
      </c>
      <c r="G107">
        <v>120</v>
      </c>
      <c r="H107">
        <v>100</v>
      </c>
      <c r="I107">
        <v>8</v>
      </c>
      <c r="J107">
        <v>12</v>
      </c>
    </row>
    <row r="108" spans="1:10" x14ac:dyDescent="0.3">
      <c r="A108">
        <v>107</v>
      </c>
      <c r="B108" t="s">
        <v>284</v>
      </c>
      <c r="C108" s="1" t="s">
        <v>285</v>
      </c>
      <c r="D108" t="s">
        <v>100</v>
      </c>
      <c r="E108" t="s">
        <v>286</v>
      </c>
      <c r="G108">
        <v>115</v>
      </c>
      <c r="H108">
        <v>100</v>
      </c>
      <c r="I108">
        <v>0</v>
      </c>
      <c r="J108">
        <v>15</v>
      </c>
    </row>
    <row r="109" spans="1:10" x14ac:dyDescent="0.3">
      <c r="A109">
        <v>107</v>
      </c>
      <c r="B109" t="s">
        <v>91</v>
      </c>
      <c r="C109" s="1" t="s">
        <v>92</v>
      </c>
      <c r="D109" t="s">
        <v>12</v>
      </c>
      <c r="E109" t="s">
        <v>93</v>
      </c>
      <c r="G109">
        <v>115</v>
      </c>
      <c r="H109">
        <v>100</v>
      </c>
      <c r="I109">
        <v>0</v>
      </c>
      <c r="J109">
        <v>15</v>
      </c>
    </row>
    <row r="110" spans="1:10" x14ac:dyDescent="0.3">
      <c r="A110">
        <v>107</v>
      </c>
      <c r="B110" t="s">
        <v>94</v>
      </c>
      <c r="C110" s="1" t="s">
        <v>95</v>
      </c>
      <c r="D110" t="s">
        <v>96</v>
      </c>
      <c r="E110" t="s">
        <v>97</v>
      </c>
      <c r="G110">
        <v>115</v>
      </c>
      <c r="H110">
        <v>100</v>
      </c>
      <c r="I110">
        <v>0</v>
      </c>
      <c r="J110">
        <v>15</v>
      </c>
    </row>
    <row r="111" spans="1:10" x14ac:dyDescent="0.3">
      <c r="A111">
        <v>110</v>
      </c>
      <c r="B111" t="s">
        <v>397</v>
      </c>
      <c r="C111" s="1" t="s">
        <v>398</v>
      </c>
      <c r="D111" t="s">
        <v>191</v>
      </c>
      <c r="E111" t="s">
        <v>399</v>
      </c>
      <c r="G111">
        <v>113</v>
      </c>
      <c r="H111">
        <v>100</v>
      </c>
      <c r="I111">
        <v>0</v>
      </c>
      <c r="J111">
        <v>13</v>
      </c>
    </row>
    <row r="112" spans="1:10" x14ac:dyDescent="0.3">
      <c r="A112">
        <v>111</v>
      </c>
      <c r="B112" t="s">
        <v>485</v>
      </c>
      <c r="C112" s="1" t="s">
        <v>486</v>
      </c>
      <c r="D112" t="s">
        <v>89</v>
      </c>
      <c r="E112" t="s">
        <v>487</v>
      </c>
      <c r="G112">
        <v>112</v>
      </c>
      <c r="H112">
        <v>100</v>
      </c>
      <c r="I112">
        <v>0</v>
      </c>
      <c r="J112">
        <v>12</v>
      </c>
    </row>
    <row r="113" spans="1:10" x14ac:dyDescent="0.3">
      <c r="A113">
        <v>111</v>
      </c>
      <c r="B113" t="s">
        <v>70</v>
      </c>
      <c r="C113" s="1" t="s">
        <v>71</v>
      </c>
      <c r="D113" t="s">
        <v>16</v>
      </c>
      <c r="E113" t="s">
        <v>72</v>
      </c>
      <c r="G113">
        <v>112</v>
      </c>
      <c r="H113">
        <v>100</v>
      </c>
      <c r="I113">
        <v>0</v>
      </c>
      <c r="J113">
        <v>12</v>
      </c>
    </row>
    <row r="114" spans="1:10" x14ac:dyDescent="0.3">
      <c r="A114">
        <v>111</v>
      </c>
      <c r="B114" t="s">
        <v>307</v>
      </c>
      <c r="C114" s="1" t="s">
        <v>308</v>
      </c>
      <c r="D114" t="s">
        <v>52</v>
      </c>
      <c r="E114" t="s">
        <v>309</v>
      </c>
      <c r="G114">
        <v>112</v>
      </c>
      <c r="H114">
        <v>100</v>
      </c>
      <c r="I114">
        <v>0</v>
      </c>
      <c r="J114">
        <v>12</v>
      </c>
    </row>
    <row r="115" spans="1:10" x14ac:dyDescent="0.3">
      <c r="A115">
        <v>111</v>
      </c>
      <c r="B115" t="s">
        <v>214</v>
      </c>
      <c r="C115" s="1" t="s">
        <v>215</v>
      </c>
      <c r="D115" t="s">
        <v>216</v>
      </c>
      <c r="E115" t="s">
        <v>217</v>
      </c>
      <c r="G115">
        <v>112</v>
      </c>
      <c r="H115">
        <v>100</v>
      </c>
      <c r="I115">
        <v>0</v>
      </c>
      <c r="J115">
        <v>12</v>
      </c>
    </row>
    <row r="116" spans="1:10" x14ac:dyDescent="0.3">
      <c r="A116">
        <v>111</v>
      </c>
      <c r="B116" t="s">
        <v>423</v>
      </c>
      <c r="C116" s="1" t="s">
        <v>424</v>
      </c>
      <c r="D116" t="s">
        <v>425</v>
      </c>
      <c r="E116" t="s">
        <v>426</v>
      </c>
      <c r="G116">
        <v>112</v>
      </c>
      <c r="H116">
        <v>100</v>
      </c>
      <c r="I116">
        <v>0</v>
      </c>
      <c r="J116">
        <v>12</v>
      </c>
    </row>
    <row r="117" spans="1:10" x14ac:dyDescent="0.3">
      <c r="A117">
        <v>111</v>
      </c>
      <c r="B117" t="s">
        <v>225</v>
      </c>
      <c r="C117" s="1" t="s">
        <v>226</v>
      </c>
      <c r="E117" t="s">
        <v>227</v>
      </c>
      <c r="G117">
        <v>112</v>
      </c>
      <c r="H117">
        <v>100</v>
      </c>
      <c r="I117">
        <v>0</v>
      </c>
      <c r="J117">
        <v>12</v>
      </c>
    </row>
    <row r="118" spans="1:10" x14ac:dyDescent="0.3">
      <c r="A118">
        <v>111</v>
      </c>
      <c r="B118" t="s">
        <v>456</v>
      </c>
      <c r="C118" s="1" t="s">
        <v>457</v>
      </c>
      <c r="D118" t="s">
        <v>178</v>
      </c>
      <c r="E118" t="s">
        <v>458</v>
      </c>
      <c r="G118">
        <v>112</v>
      </c>
      <c r="H118">
        <v>100</v>
      </c>
      <c r="I118">
        <v>0</v>
      </c>
      <c r="J118">
        <v>12</v>
      </c>
    </row>
    <row r="119" spans="1:10" x14ac:dyDescent="0.3">
      <c r="A119">
        <v>111</v>
      </c>
      <c r="B119" t="s">
        <v>466</v>
      </c>
      <c r="C119" s="1" t="s">
        <v>467</v>
      </c>
      <c r="D119" t="s">
        <v>48</v>
      </c>
      <c r="E119" t="s">
        <v>468</v>
      </c>
      <c r="G119">
        <v>112</v>
      </c>
      <c r="H119">
        <v>100</v>
      </c>
      <c r="I119">
        <v>0</v>
      </c>
      <c r="J119">
        <v>12</v>
      </c>
    </row>
    <row r="120" spans="1:10" x14ac:dyDescent="0.3">
      <c r="A120">
        <v>119</v>
      </c>
      <c r="B120" t="s">
        <v>453</v>
      </c>
      <c r="C120" s="1" t="s">
        <v>454</v>
      </c>
      <c r="D120" t="s">
        <v>81</v>
      </c>
      <c r="E120" t="s">
        <v>455</v>
      </c>
      <c r="G120">
        <v>103</v>
      </c>
      <c r="H120">
        <v>35</v>
      </c>
      <c r="I120">
        <v>56</v>
      </c>
      <c r="J120">
        <v>12</v>
      </c>
    </row>
    <row r="121" spans="1:10" x14ac:dyDescent="0.3">
      <c r="A121">
        <v>120</v>
      </c>
      <c r="B121" t="s">
        <v>341</v>
      </c>
      <c r="C121" s="1" t="s">
        <v>342</v>
      </c>
      <c r="D121" t="s">
        <v>147</v>
      </c>
      <c r="E121" t="s">
        <v>343</v>
      </c>
      <c r="G121">
        <v>102</v>
      </c>
      <c r="H121">
        <v>70</v>
      </c>
      <c r="I121">
        <v>20</v>
      </c>
      <c r="J121">
        <v>12</v>
      </c>
    </row>
    <row r="122" spans="1:10" x14ac:dyDescent="0.3">
      <c r="A122">
        <v>121</v>
      </c>
      <c r="B122" t="s">
        <v>409</v>
      </c>
      <c r="C122" s="1" t="s">
        <v>410</v>
      </c>
      <c r="D122" t="s">
        <v>16</v>
      </c>
      <c r="E122" t="s">
        <v>411</v>
      </c>
      <c r="G122">
        <v>100</v>
      </c>
      <c r="H122">
        <v>100</v>
      </c>
      <c r="I122">
        <v>0</v>
      </c>
      <c r="J122">
        <v>0</v>
      </c>
    </row>
    <row r="123" spans="1:10" x14ac:dyDescent="0.3">
      <c r="A123">
        <v>121</v>
      </c>
      <c r="B123" t="s">
        <v>416</v>
      </c>
      <c r="C123" s="1" t="s">
        <v>417</v>
      </c>
      <c r="D123" t="s">
        <v>418</v>
      </c>
      <c r="E123" t="s">
        <v>419</v>
      </c>
      <c r="G123">
        <v>100</v>
      </c>
      <c r="H123">
        <v>100</v>
      </c>
      <c r="I123">
        <v>0</v>
      </c>
      <c r="J123">
        <v>0</v>
      </c>
    </row>
    <row r="124" spans="1:10" x14ac:dyDescent="0.3">
      <c r="A124">
        <v>121</v>
      </c>
      <c r="B124" t="s">
        <v>231</v>
      </c>
      <c r="C124" s="1" t="s">
        <v>232</v>
      </c>
      <c r="D124" t="s">
        <v>20</v>
      </c>
      <c r="E124" t="s">
        <v>233</v>
      </c>
      <c r="G124">
        <v>100</v>
      </c>
      <c r="H124">
        <v>100</v>
      </c>
      <c r="I124">
        <v>0</v>
      </c>
      <c r="J124">
        <v>0</v>
      </c>
    </row>
    <row r="125" spans="1:10" x14ac:dyDescent="0.3">
      <c r="A125">
        <v>121</v>
      </c>
      <c r="B125" t="s">
        <v>412</v>
      </c>
      <c r="C125" s="1" t="s">
        <v>413</v>
      </c>
      <c r="D125" t="s">
        <v>414</v>
      </c>
      <c r="E125" t="s">
        <v>415</v>
      </c>
      <c r="G125">
        <v>100</v>
      </c>
      <c r="H125">
        <v>100</v>
      </c>
      <c r="I125">
        <v>0</v>
      </c>
      <c r="J125">
        <v>0</v>
      </c>
    </row>
    <row r="126" spans="1:10" x14ac:dyDescent="0.3">
      <c r="A126">
        <v>121</v>
      </c>
      <c r="B126" t="s">
        <v>256</v>
      </c>
      <c r="C126" s="1" t="s">
        <v>257</v>
      </c>
      <c r="D126" t="s">
        <v>258</v>
      </c>
      <c r="E126" t="s">
        <v>259</v>
      </c>
      <c r="G126">
        <v>100</v>
      </c>
      <c r="H126">
        <v>100</v>
      </c>
      <c r="I126">
        <v>0</v>
      </c>
      <c r="J126">
        <v>0</v>
      </c>
    </row>
    <row r="127" spans="1:10" x14ac:dyDescent="0.3">
      <c r="A127">
        <v>121</v>
      </c>
      <c r="B127" t="s">
        <v>519</v>
      </c>
      <c r="C127" s="1" t="s">
        <v>520</v>
      </c>
      <c r="D127" t="s">
        <v>521</v>
      </c>
      <c r="E127" t="s">
        <v>522</v>
      </c>
      <c r="G127">
        <v>100</v>
      </c>
      <c r="H127">
        <v>100</v>
      </c>
      <c r="I127">
        <v>0</v>
      </c>
      <c r="J127">
        <v>0</v>
      </c>
    </row>
    <row r="128" spans="1:10" x14ac:dyDescent="0.3">
      <c r="A128">
        <v>121</v>
      </c>
      <c r="B128" t="s">
        <v>73</v>
      </c>
      <c r="C128" s="1" t="s">
        <v>74</v>
      </c>
      <c r="D128" t="s">
        <v>28</v>
      </c>
      <c r="E128" t="s">
        <v>75</v>
      </c>
      <c r="G128">
        <v>100</v>
      </c>
      <c r="H128">
        <v>100</v>
      </c>
      <c r="I128">
        <v>0</v>
      </c>
      <c r="J128">
        <v>0</v>
      </c>
    </row>
    <row r="129" spans="1:10" x14ac:dyDescent="0.3">
      <c r="A129">
        <v>128</v>
      </c>
      <c r="B129" t="s">
        <v>388</v>
      </c>
      <c r="C129" s="1" t="s">
        <v>389</v>
      </c>
      <c r="D129" t="s">
        <v>191</v>
      </c>
      <c r="E129" t="s">
        <v>390</v>
      </c>
      <c r="G129">
        <v>67</v>
      </c>
      <c r="H129">
        <v>20</v>
      </c>
      <c r="I129">
        <v>32</v>
      </c>
      <c r="J129">
        <v>15</v>
      </c>
    </row>
    <row r="130" spans="1:10" x14ac:dyDescent="0.3">
      <c r="A130">
        <v>128</v>
      </c>
      <c r="B130" t="s">
        <v>323</v>
      </c>
      <c r="C130" s="1" t="s">
        <v>324</v>
      </c>
      <c r="D130" t="s">
        <v>178</v>
      </c>
      <c r="E130" t="s">
        <v>325</v>
      </c>
      <c r="G130">
        <v>67</v>
      </c>
      <c r="H130">
        <v>35</v>
      </c>
      <c r="I130">
        <v>32</v>
      </c>
      <c r="J130">
        <v>0</v>
      </c>
    </row>
    <row r="131" spans="1:10" x14ac:dyDescent="0.3">
      <c r="A131">
        <v>130</v>
      </c>
      <c r="B131" t="s">
        <v>420</v>
      </c>
      <c r="C131" s="1" t="s">
        <v>421</v>
      </c>
      <c r="D131" t="s">
        <v>305</v>
      </c>
      <c r="E131" t="s">
        <v>422</v>
      </c>
      <c r="G131">
        <v>60</v>
      </c>
      <c r="H131">
        <v>35</v>
      </c>
      <c r="I131">
        <v>8</v>
      </c>
      <c r="J131">
        <v>17</v>
      </c>
    </row>
    <row r="132" spans="1:10" x14ac:dyDescent="0.3">
      <c r="A132">
        <v>131</v>
      </c>
      <c r="B132" t="s">
        <v>377</v>
      </c>
      <c r="C132" s="1" t="s">
        <v>378</v>
      </c>
      <c r="D132" t="s">
        <v>379</v>
      </c>
      <c r="E132" t="s">
        <v>380</v>
      </c>
      <c r="G132">
        <v>55</v>
      </c>
      <c r="H132">
        <v>10</v>
      </c>
      <c r="I132">
        <v>20</v>
      </c>
      <c r="J132">
        <v>25</v>
      </c>
    </row>
    <row r="133" spans="1:10" x14ac:dyDescent="0.3">
      <c r="A133">
        <v>131</v>
      </c>
      <c r="B133" t="s">
        <v>394</v>
      </c>
      <c r="C133" s="1" t="s">
        <v>395</v>
      </c>
      <c r="D133" t="s">
        <v>178</v>
      </c>
      <c r="E133" t="s">
        <v>396</v>
      </c>
      <c r="G133">
        <v>55</v>
      </c>
      <c r="H133">
        <v>35</v>
      </c>
      <c r="I133">
        <v>20</v>
      </c>
      <c r="J133">
        <v>0</v>
      </c>
    </row>
    <row r="134" spans="1:10" x14ac:dyDescent="0.3">
      <c r="A134">
        <v>133</v>
      </c>
      <c r="B134" t="s">
        <v>234</v>
      </c>
      <c r="C134" s="1" t="s">
        <v>235</v>
      </c>
      <c r="D134" t="s">
        <v>20</v>
      </c>
      <c r="E134" t="s">
        <v>236</v>
      </c>
      <c r="G134">
        <v>54</v>
      </c>
      <c r="H134">
        <v>10</v>
      </c>
      <c r="I134">
        <v>32</v>
      </c>
      <c r="J134">
        <v>12</v>
      </c>
    </row>
    <row r="135" spans="1:10" x14ac:dyDescent="0.3">
      <c r="A135">
        <v>134</v>
      </c>
      <c r="B135" t="s">
        <v>287</v>
      </c>
      <c r="C135" s="1" t="s">
        <v>288</v>
      </c>
      <c r="D135" t="s">
        <v>178</v>
      </c>
      <c r="E135" t="s">
        <v>289</v>
      </c>
      <c r="G135">
        <v>48</v>
      </c>
      <c r="H135">
        <v>25</v>
      </c>
      <c r="I135">
        <v>8</v>
      </c>
      <c r="J135">
        <v>15</v>
      </c>
    </row>
    <row r="136" spans="1:10" x14ac:dyDescent="0.3">
      <c r="A136">
        <v>135</v>
      </c>
      <c r="B136" t="s">
        <v>494</v>
      </c>
      <c r="C136" s="1" t="s">
        <v>495</v>
      </c>
      <c r="D136" t="s">
        <v>178</v>
      </c>
      <c r="E136" t="s">
        <v>496</v>
      </c>
      <c r="G136">
        <v>47</v>
      </c>
      <c r="H136">
        <v>35</v>
      </c>
      <c r="I136">
        <v>0</v>
      </c>
      <c r="J136">
        <v>12</v>
      </c>
    </row>
    <row r="137" spans="1:10" x14ac:dyDescent="0.3">
      <c r="A137">
        <v>135</v>
      </c>
      <c r="B137" t="s">
        <v>317</v>
      </c>
      <c r="C137" s="1" t="s">
        <v>318</v>
      </c>
      <c r="D137" t="s">
        <v>178</v>
      </c>
      <c r="E137" t="s">
        <v>319</v>
      </c>
      <c r="G137">
        <v>47</v>
      </c>
      <c r="H137">
        <v>35</v>
      </c>
      <c r="I137">
        <v>0</v>
      </c>
      <c r="J137">
        <v>12</v>
      </c>
    </row>
    <row r="138" spans="1:10" x14ac:dyDescent="0.3">
      <c r="A138">
        <v>135</v>
      </c>
      <c r="B138" t="s">
        <v>546</v>
      </c>
      <c r="C138" s="1" t="s">
        <v>547</v>
      </c>
      <c r="D138" t="s">
        <v>548</v>
      </c>
      <c r="E138" t="s">
        <v>549</v>
      </c>
      <c r="G138">
        <v>47</v>
      </c>
      <c r="H138">
        <v>35</v>
      </c>
      <c r="I138">
        <v>0</v>
      </c>
      <c r="J138">
        <v>12</v>
      </c>
    </row>
    <row r="139" spans="1:10" x14ac:dyDescent="0.3">
      <c r="A139">
        <v>138</v>
      </c>
      <c r="B139" t="s">
        <v>500</v>
      </c>
      <c r="C139" s="1" t="s">
        <v>501</v>
      </c>
      <c r="D139" t="s">
        <v>502</v>
      </c>
      <c r="E139" t="s">
        <v>503</v>
      </c>
      <c r="G139">
        <v>45</v>
      </c>
      <c r="H139">
        <v>25</v>
      </c>
      <c r="I139">
        <v>20</v>
      </c>
      <c r="J139">
        <v>0</v>
      </c>
    </row>
    <row r="140" spans="1:10" x14ac:dyDescent="0.3">
      <c r="A140">
        <v>139</v>
      </c>
      <c r="B140" t="s">
        <v>381</v>
      </c>
      <c r="C140" s="1" t="s">
        <v>382</v>
      </c>
      <c r="D140" t="s">
        <v>383</v>
      </c>
      <c r="E140" t="s">
        <v>384</v>
      </c>
      <c r="G140">
        <v>43</v>
      </c>
      <c r="H140">
        <v>35</v>
      </c>
      <c r="I140">
        <v>8</v>
      </c>
      <c r="J140">
        <v>0</v>
      </c>
    </row>
    <row r="141" spans="1:10" x14ac:dyDescent="0.3">
      <c r="A141">
        <v>140</v>
      </c>
      <c r="B141" t="s">
        <v>186</v>
      </c>
      <c r="C141" s="1" t="s">
        <v>187</v>
      </c>
      <c r="D141" t="s">
        <v>81</v>
      </c>
      <c r="E141" t="s">
        <v>188</v>
      </c>
      <c r="G141">
        <v>37</v>
      </c>
      <c r="H141">
        <v>25</v>
      </c>
      <c r="I141">
        <v>0</v>
      </c>
      <c r="J141">
        <v>12</v>
      </c>
    </row>
    <row r="142" spans="1:10" x14ac:dyDescent="0.3">
      <c r="A142">
        <v>140</v>
      </c>
      <c r="B142" t="s">
        <v>266</v>
      </c>
      <c r="C142" s="1" t="s">
        <v>267</v>
      </c>
      <c r="D142" t="s">
        <v>178</v>
      </c>
      <c r="E142" t="s">
        <v>268</v>
      </c>
      <c r="G142">
        <v>37</v>
      </c>
      <c r="H142">
        <v>25</v>
      </c>
      <c r="I142">
        <v>0</v>
      </c>
      <c r="J142">
        <v>12</v>
      </c>
    </row>
    <row r="143" spans="1:10" x14ac:dyDescent="0.3">
      <c r="A143">
        <v>140</v>
      </c>
      <c r="B143" t="s">
        <v>550</v>
      </c>
      <c r="C143" s="1" t="s">
        <v>551</v>
      </c>
      <c r="D143" t="s">
        <v>223</v>
      </c>
      <c r="E143" t="s">
        <v>552</v>
      </c>
      <c r="G143">
        <v>37</v>
      </c>
      <c r="H143">
        <v>25</v>
      </c>
      <c r="I143">
        <v>0</v>
      </c>
      <c r="J143">
        <v>12</v>
      </c>
    </row>
    <row r="144" spans="1:10" x14ac:dyDescent="0.3">
      <c r="A144">
        <v>143</v>
      </c>
      <c r="B144" t="s">
        <v>469</v>
      </c>
      <c r="C144" s="1" t="s">
        <v>470</v>
      </c>
      <c r="D144" t="s">
        <v>471</v>
      </c>
      <c r="E144" t="s">
        <v>472</v>
      </c>
      <c r="G144">
        <v>35</v>
      </c>
      <c r="H144">
        <v>35</v>
      </c>
      <c r="I144">
        <v>0</v>
      </c>
      <c r="J144">
        <v>0</v>
      </c>
    </row>
    <row r="145" spans="1:10" x14ac:dyDescent="0.3">
      <c r="A145">
        <v>143</v>
      </c>
      <c r="B145" t="s">
        <v>510</v>
      </c>
      <c r="C145" s="1" t="s">
        <v>511</v>
      </c>
      <c r="D145" t="s">
        <v>425</v>
      </c>
      <c r="E145" t="s">
        <v>512</v>
      </c>
      <c r="G145">
        <v>35</v>
      </c>
      <c r="H145">
        <v>35</v>
      </c>
      <c r="I145">
        <v>0</v>
      </c>
      <c r="J145">
        <v>0</v>
      </c>
    </row>
    <row r="146" spans="1:10" x14ac:dyDescent="0.3">
      <c r="A146">
        <v>143</v>
      </c>
      <c r="B146" t="s">
        <v>476</v>
      </c>
      <c r="C146" s="1" t="s">
        <v>477</v>
      </c>
      <c r="D146" t="s">
        <v>81</v>
      </c>
      <c r="E146" t="s">
        <v>478</v>
      </c>
      <c r="G146">
        <v>35</v>
      </c>
      <c r="H146">
        <v>35</v>
      </c>
      <c r="I146">
        <v>0</v>
      </c>
      <c r="J146">
        <v>0</v>
      </c>
    </row>
    <row r="147" spans="1:10" x14ac:dyDescent="0.3">
      <c r="A147">
        <v>146</v>
      </c>
      <c r="B147" t="s">
        <v>523</v>
      </c>
      <c r="C147" s="1" t="s">
        <v>524</v>
      </c>
      <c r="D147" t="s">
        <v>89</v>
      </c>
      <c r="E147" t="s">
        <v>525</v>
      </c>
      <c r="G147">
        <v>34</v>
      </c>
      <c r="H147">
        <v>0</v>
      </c>
      <c r="I147">
        <v>0</v>
      </c>
      <c r="J147">
        <v>34</v>
      </c>
    </row>
    <row r="148" spans="1:10" x14ac:dyDescent="0.3">
      <c r="A148">
        <v>147</v>
      </c>
      <c r="B148" t="s">
        <v>391</v>
      </c>
      <c r="C148" s="1" t="s">
        <v>392</v>
      </c>
      <c r="D148" t="s">
        <v>178</v>
      </c>
      <c r="E148" t="s">
        <v>393</v>
      </c>
      <c r="G148">
        <v>33</v>
      </c>
      <c r="H148">
        <v>10</v>
      </c>
      <c r="I148">
        <v>8</v>
      </c>
      <c r="J148">
        <v>15</v>
      </c>
    </row>
    <row r="149" spans="1:10" x14ac:dyDescent="0.3">
      <c r="A149">
        <v>148</v>
      </c>
      <c r="B149" t="s">
        <v>491</v>
      </c>
      <c r="C149" s="1" t="s">
        <v>492</v>
      </c>
      <c r="D149" t="s">
        <v>178</v>
      </c>
      <c r="E149" t="s">
        <v>493</v>
      </c>
      <c r="G149">
        <v>32</v>
      </c>
      <c r="H149">
        <v>20</v>
      </c>
      <c r="I149">
        <v>0</v>
      </c>
      <c r="J149">
        <v>12</v>
      </c>
    </row>
    <row r="150" spans="1:10" x14ac:dyDescent="0.3">
      <c r="A150">
        <v>148</v>
      </c>
      <c r="B150" t="s">
        <v>463</v>
      </c>
      <c r="C150" s="1" t="s">
        <v>464</v>
      </c>
      <c r="D150" t="s">
        <v>191</v>
      </c>
      <c r="E150" t="s">
        <v>465</v>
      </c>
      <c r="G150">
        <v>32</v>
      </c>
      <c r="H150">
        <v>20</v>
      </c>
      <c r="I150">
        <v>0</v>
      </c>
      <c r="J150">
        <v>12</v>
      </c>
    </row>
    <row r="151" spans="1:10" x14ac:dyDescent="0.3">
      <c r="A151">
        <v>148</v>
      </c>
      <c r="B151" t="s">
        <v>553</v>
      </c>
      <c r="C151" s="1" t="s">
        <v>554</v>
      </c>
      <c r="D151" t="s">
        <v>555</v>
      </c>
      <c r="E151" t="s">
        <v>556</v>
      </c>
      <c r="G151">
        <v>32</v>
      </c>
      <c r="H151">
        <v>20</v>
      </c>
      <c r="I151">
        <v>0</v>
      </c>
      <c r="J151">
        <v>12</v>
      </c>
    </row>
    <row r="152" spans="1:10" x14ac:dyDescent="0.3">
      <c r="A152">
        <v>148</v>
      </c>
      <c r="B152" t="s">
        <v>557</v>
      </c>
      <c r="C152" s="1" t="s">
        <v>558</v>
      </c>
      <c r="D152" t="s">
        <v>216</v>
      </c>
      <c r="E152" t="s">
        <v>559</v>
      </c>
      <c r="G152">
        <v>32</v>
      </c>
      <c r="H152">
        <v>20</v>
      </c>
      <c r="I152">
        <v>0</v>
      </c>
      <c r="J152">
        <v>12</v>
      </c>
    </row>
    <row r="153" spans="1:10" x14ac:dyDescent="0.3">
      <c r="A153">
        <v>152</v>
      </c>
      <c r="B153" t="s">
        <v>403</v>
      </c>
      <c r="C153" s="1" t="s">
        <v>404</v>
      </c>
      <c r="D153" t="s">
        <v>28</v>
      </c>
      <c r="E153" t="s">
        <v>405</v>
      </c>
      <c r="G153">
        <v>28</v>
      </c>
      <c r="H153">
        <v>20</v>
      </c>
      <c r="I153">
        <v>8</v>
      </c>
      <c r="J153">
        <v>0</v>
      </c>
    </row>
    <row r="154" spans="1:10" x14ac:dyDescent="0.3">
      <c r="A154">
        <v>153</v>
      </c>
      <c r="B154" t="s">
        <v>450</v>
      </c>
      <c r="C154" s="1" t="s">
        <v>451</v>
      </c>
      <c r="D154" t="s">
        <v>305</v>
      </c>
      <c r="E154" t="s">
        <v>452</v>
      </c>
      <c r="G154">
        <v>25</v>
      </c>
      <c r="H154">
        <v>25</v>
      </c>
      <c r="I154">
        <v>0</v>
      </c>
      <c r="J154">
        <v>0</v>
      </c>
    </row>
    <row r="155" spans="1:10" x14ac:dyDescent="0.3">
      <c r="A155">
        <v>153</v>
      </c>
      <c r="B155" t="s">
        <v>357</v>
      </c>
      <c r="C155" s="1" t="s">
        <v>358</v>
      </c>
      <c r="D155" t="s">
        <v>68</v>
      </c>
      <c r="E155" t="s">
        <v>359</v>
      </c>
      <c r="G155">
        <v>25</v>
      </c>
      <c r="H155">
        <v>25</v>
      </c>
      <c r="I155">
        <v>0</v>
      </c>
      <c r="J155">
        <v>0</v>
      </c>
    </row>
    <row r="156" spans="1:10" x14ac:dyDescent="0.3">
      <c r="A156">
        <v>155</v>
      </c>
      <c r="B156" t="s">
        <v>274</v>
      </c>
      <c r="C156" s="1" t="s">
        <v>275</v>
      </c>
      <c r="D156" t="s">
        <v>60</v>
      </c>
      <c r="E156" t="s">
        <v>276</v>
      </c>
      <c r="G156">
        <v>22</v>
      </c>
      <c r="H156">
        <v>10</v>
      </c>
      <c r="I156">
        <v>0</v>
      </c>
      <c r="J156">
        <v>12</v>
      </c>
    </row>
    <row r="157" spans="1:10" x14ac:dyDescent="0.3">
      <c r="A157">
        <v>155</v>
      </c>
      <c r="B157" t="s">
        <v>560</v>
      </c>
      <c r="C157" s="1" t="s">
        <v>561</v>
      </c>
      <c r="D157" t="s">
        <v>216</v>
      </c>
      <c r="E157" t="s">
        <v>562</v>
      </c>
      <c r="G157">
        <v>22</v>
      </c>
      <c r="H157">
        <v>10</v>
      </c>
      <c r="I157">
        <v>0</v>
      </c>
      <c r="J157">
        <v>12</v>
      </c>
    </row>
    <row r="158" spans="1:10" x14ac:dyDescent="0.3">
      <c r="A158">
        <v>157</v>
      </c>
      <c r="B158" t="s">
        <v>504</v>
      </c>
      <c r="C158" s="1" t="s">
        <v>505</v>
      </c>
      <c r="D158" t="s">
        <v>178</v>
      </c>
      <c r="E158" t="s">
        <v>506</v>
      </c>
      <c r="G158">
        <v>12</v>
      </c>
      <c r="H158">
        <v>0</v>
      </c>
      <c r="I158">
        <v>0</v>
      </c>
      <c r="J158">
        <v>12</v>
      </c>
    </row>
    <row r="159" spans="1:10" x14ac:dyDescent="0.3">
      <c r="A159">
        <v>158</v>
      </c>
      <c r="B159" t="s">
        <v>563</v>
      </c>
      <c r="C159" s="1" t="s">
        <v>564</v>
      </c>
      <c r="D159" t="s">
        <v>216</v>
      </c>
      <c r="E159" t="s">
        <v>565</v>
      </c>
      <c r="G159">
        <v>10</v>
      </c>
      <c r="H159">
        <v>10</v>
      </c>
      <c r="I159">
        <v>0</v>
      </c>
      <c r="J159">
        <v>0</v>
      </c>
    </row>
    <row r="160" spans="1:10" x14ac:dyDescent="0.3">
      <c r="A160">
        <v>158</v>
      </c>
      <c r="B160" t="s">
        <v>131</v>
      </c>
      <c r="C160" s="1" t="s">
        <v>132</v>
      </c>
      <c r="D160" t="s">
        <v>133</v>
      </c>
      <c r="E160" t="s">
        <v>134</v>
      </c>
      <c r="G160">
        <v>10</v>
      </c>
      <c r="H160">
        <v>10</v>
      </c>
      <c r="I160">
        <v>0</v>
      </c>
      <c r="J160">
        <v>0</v>
      </c>
    </row>
    <row r="161" spans="1:10" x14ac:dyDescent="0.3">
      <c r="A161">
        <v>158</v>
      </c>
      <c r="B161" t="s">
        <v>303</v>
      </c>
      <c r="C161" s="1" t="s">
        <v>304</v>
      </c>
      <c r="D161" t="s">
        <v>305</v>
      </c>
      <c r="E161" t="s">
        <v>306</v>
      </c>
      <c r="G161">
        <v>10</v>
      </c>
      <c r="H161">
        <v>10</v>
      </c>
      <c r="I161">
        <v>0</v>
      </c>
      <c r="J161">
        <v>0</v>
      </c>
    </row>
    <row r="162" spans="1:10" x14ac:dyDescent="0.3">
      <c r="A162">
        <v>161</v>
      </c>
      <c r="B162" t="s">
        <v>566</v>
      </c>
      <c r="C162" s="1" t="s">
        <v>567</v>
      </c>
      <c r="D162" t="s">
        <v>568</v>
      </c>
      <c r="E162" t="s">
        <v>569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>
        <v>161</v>
      </c>
      <c r="B163" t="s">
        <v>348</v>
      </c>
      <c r="C163" s="1" t="s">
        <v>349</v>
      </c>
      <c r="D163" t="s">
        <v>81</v>
      </c>
      <c r="E163" t="s">
        <v>350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161</v>
      </c>
      <c r="B164" t="s">
        <v>138</v>
      </c>
      <c r="C164" s="1" t="s">
        <v>139</v>
      </c>
      <c r="D164" t="s">
        <v>20</v>
      </c>
      <c r="E164" t="s">
        <v>140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>
        <v>161</v>
      </c>
      <c r="B165" t="s">
        <v>570</v>
      </c>
      <c r="C165" s="1" t="s">
        <v>571</v>
      </c>
      <c r="E165" t="s">
        <v>570</v>
      </c>
      <c r="G165">
        <v>0</v>
      </c>
      <c r="H165">
        <v>0</v>
      </c>
      <c r="I165">
        <v>0</v>
      </c>
      <c r="J165">
        <v>0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7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572</v>
      </c>
      <c r="I1" t="s">
        <v>573</v>
      </c>
      <c r="J1" t="s">
        <v>574</v>
      </c>
    </row>
    <row r="2" spans="1:10" x14ac:dyDescent="0.3">
      <c r="A2">
        <v>1</v>
      </c>
      <c r="B2" t="s">
        <v>193</v>
      </c>
      <c r="C2" s="1" t="s">
        <v>194</v>
      </c>
      <c r="D2" t="s">
        <v>60</v>
      </c>
      <c r="E2" t="s">
        <v>195</v>
      </c>
      <c r="G2">
        <v>300</v>
      </c>
      <c r="H2">
        <v>100</v>
      </c>
      <c r="I2">
        <v>100</v>
      </c>
      <c r="J2">
        <v>100</v>
      </c>
    </row>
    <row r="3" spans="1:10" x14ac:dyDescent="0.3">
      <c r="A3">
        <v>1</v>
      </c>
      <c r="B3" t="s">
        <v>141</v>
      </c>
      <c r="C3" s="1" t="s">
        <v>142</v>
      </c>
      <c r="D3" t="s">
        <v>143</v>
      </c>
      <c r="E3" t="s">
        <v>144</v>
      </c>
      <c r="G3">
        <v>300</v>
      </c>
      <c r="H3">
        <v>100</v>
      </c>
      <c r="I3">
        <v>100</v>
      </c>
      <c r="J3">
        <v>100</v>
      </c>
    </row>
    <row r="4" spans="1:10" x14ac:dyDescent="0.3">
      <c r="A4">
        <v>1</v>
      </c>
      <c r="B4" t="s">
        <v>43</v>
      </c>
      <c r="C4" s="1" t="s">
        <v>44</v>
      </c>
      <c r="D4" t="s">
        <v>24</v>
      </c>
      <c r="E4" t="s">
        <v>45</v>
      </c>
      <c r="G4">
        <v>300</v>
      </c>
      <c r="H4">
        <v>100</v>
      </c>
      <c r="I4">
        <v>100</v>
      </c>
      <c r="J4">
        <v>100</v>
      </c>
    </row>
    <row r="5" spans="1:10" x14ac:dyDescent="0.3">
      <c r="A5">
        <v>4</v>
      </c>
      <c r="B5" t="s">
        <v>50</v>
      </c>
      <c r="C5" s="1" t="s">
        <v>51</v>
      </c>
      <c r="D5" t="s">
        <v>52</v>
      </c>
      <c r="E5" t="s">
        <v>53</v>
      </c>
      <c r="G5">
        <v>280</v>
      </c>
      <c r="H5">
        <v>100</v>
      </c>
      <c r="I5">
        <v>100</v>
      </c>
      <c r="J5">
        <v>80</v>
      </c>
    </row>
    <row r="6" spans="1:10" x14ac:dyDescent="0.3">
      <c r="A6">
        <v>5</v>
      </c>
      <c r="B6" t="s">
        <v>36</v>
      </c>
      <c r="C6" s="1" t="s">
        <v>37</v>
      </c>
      <c r="D6" t="s">
        <v>16</v>
      </c>
      <c r="E6" t="s">
        <v>38</v>
      </c>
      <c r="G6">
        <v>270</v>
      </c>
      <c r="H6">
        <v>100</v>
      </c>
      <c r="I6">
        <v>100</v>
      </c>
      <c r="J6">
        <v>70</v>
      </c>
    </row>
    <row r="7" spans="1:10" x14ac:dyDescent="0.3">
      <c r="A7">
        <v>5</v>
      </c>
      <c r="B7" t="s">
        <v>10</v>
      </c>
      <c r="C7" s="1" t="s">
        <v>11</v>
      </c>
      <c r="D7" t="s">
        <v>12</v>
      </c>
      <c r="E7" t="s">
        <v>13</v>
      </c>
      <c r="G7">
        <v>270</v>
      </c>
      <c r="H7">
        <v>100</v>
      </c>
      <c r="I7">
        <v>100</v>
      </c>
      <c r="J7">
        <v>70</v>
      </c>
    </row>
    <row r="8" spans="1:10" x14ac:dyDescent="0.3">
      <c r="A8">
        <v>7</v>
      </c>
      <c r="B8" t="s">
        <v>76</v>
      </c>
      <c r="C8" s="1" t="s">
        <v>77</v>
      </c>
      <c r="D8" t="s">
        <v>64</v>
      </c>
      <c r="E8" t="s">
        <v>78</v>
      </c>
      <c r="G8">
        <v>260</v>
      </c>
      <c r="H8">
        <v>100</v>
      </c>
      <c r="I8">
        <v>100</v>
      </c>
      <c r="J8">
        <v>60</v>
      </c>
    </row>
    <row r="9" spans="1:10" x14ac:dyDescent="0.3">
      <c r="A9">
        <v>7</v>
      </c>
      <c r="B9" t="s">
        <v>290</v>
      </c>
      <c r="C9" s="1" t="s">
        <v>291</v>
      </c>
      <c r="D9" t="s">
        <v>81</v>
      </c>
      <c r="E9" t="s">
        <v>292</v>
      </c>
      <c r="G9">
        <v>260</v>
      </c>
      <c r="H9">
        <v>100</v>
      </c>
      <c r="I9">
        <v>60</v>
      </c>
      <c r="J9">
        <v>100</v>
      </c>
    </row>
    <row r="10" spans="1:10" x14ac:dyDescent="0.3">
      <c r="A10">
        <v>7</v>
      </c>
      <c r="B10" t="s">
        <v>326</v>
      </c>
      <c r="C10" s="1" t="s">
        <v>327</v>
      </c>
      <c r="D10" t="s">
        <v>223</v>
      </c>
      <c r="E10" t="s">
        <v>328</v>
      </c>
      <c r="G10">
        <v>260</v>
      </c>
      <c r="H10">
        <v>100</v>
      </c>
      <c r="I10">
        <v>60</v>
      </c>
      <c r="J10">
        <v>100</v>
      </c>
    </row>
    <row r="11" spans="1:10" x14ac:dyDescent="0.3">
      <c r="A11">
        <v>7</v>
      </c>
      <c r="B11" t="s">
        <v>234</v>
      </c>
      <c r="C11" s="1" t="s">
        <v>235</v>
      </c>
      <c r="D11" t="s">
        <v>20</v>
      </c>
      <c r="E11" t="s">
        <v>236</v>
      </c>
      <c r="G11">
        <v>260</v>
      </c>
      <c r="H11">
        <v>100</v>
      </c>
      <c r="I11">
        <v>100</v>
      </c>
      <c r="J11">
        <v>60</v>
      </c>
    </row>
    <row r="12" spans="1:10" x14ac:dyDescent="0.3">
      <c r="A12">
        <v>11</v>
      </c>
      <c r="B12" t="s">
        <v>163</v>
      </c>
      <c r="C12" s="1" t="s">
        <v>164</v>
      </c>
      <c r="D12" t="s">
        <v>89</v>
      </c>
      <c r="E12" t="s">
        <v>165</v>
      </c>
      <c r="G12">
        <v>250</v>
      </c>
      <c r="H12">
        <v>100</v>
      </c>
      <c r="I12">
        <v>100</v>
      </c>
      <c r="J12">
        <v>50</v>
      </c>
    </row>
    <row r="13" spans="1:10" x14ac:dyDescent="0.3">
      <c r="A13">
        <v>11</v>
      </c>
      <c r="B13" t="s">
        <v>284</v>
      </c>
      <c r="C13" s="1" t="s">
        <v>285</v>
      </c>
      <c r="D13" t="s">
        <v>100</v>
      </c>
      <c r="E13" t="s">
        <v>286</v>
      </c>
      <c r="G13">
        <v>250</v>
      </c>
      <c r="H13">
        <v>100</v>
      </c>
      <c r="I13">
        <v>100</v>
      </c>
      <c r="J13">
        <v>50</v>
      </c>
    </row>
    <row r="14" spans="1:10" x14ac:dyDescent="0.3">
      <c r="A14">
        <v>11</v>
      </c>
      <c r="B14" t="s">
        <v>66</v>
      </c>
      <c r="C14" s="1" t="s">
        <v>67</v>
      </c>
      <c r="D14" t="s">
        <v>68</v>
      </c>
      <c r="E14" t="s">
        <v>69</v>
      </c>
      <c r="G14">
        <v>250</v>
      </c>
      <c r="H14">
        <v>100</v>
      </c>
      <c r="I14">
        <v>100</v>
      </c>
      <c r="J14">
        <v>50</v>
      </c>
    </row>
    <row r="15" spans="1:10" x14ac:dyDescent="0.3">
      <c r="A15">
        <v>11</v>
      </c>
      <c r="B15" t="s">
        <v>539</v>
      </c>
      <c r="C15" s="1" t="s">
        <v>540</v>
      </c>
      <c r="D15" t="s">
        <v>541</v>
      </c>
      <c r="E15" t="s">
        <v>542</v>
      </c>
      <c r="G15">
        <v>250</v>
      </c>
      <c r="H15">
        <v>100</v>
      </c>
      <c r="I15">
        <v>100</v>
      </c>
      <c r="J15">
        <v>50</v>
      </c>
    </row>
    <row r="16" spans="1:10" x14ac:dyDescent="0.3">
      <c r="A16">
        <v>11</v>
      </c>
      <c r="B16" t="s">
        <v>228</v>
      </c>
      <c r="C16" s="1" t="s">
        <v>229</v>
      </c>
      <c r="D16" t="s">
        <v>126</v>
      </c>
      <c r="E16" t="s">
        <v>230</v>
      </c>
      <c r="G16">
        <v>250</v>
      </c>
      <c r="H16">
        <v>100</v>
      </c>
      <c r="I16">
        <v>100</v>
      </c>
      <c r="J16">
        <v>50</v>
      </c>
    </row>
    <row r="17" spans="1:10" x14ac:dyDescent="0.3">
      <c r="A17">
        <v>11</v>
      </c>
      <c r="B17" t="s">
        <v>256</v>
      </c>
      <c r="C17" s="1" t="s">
        <v>257</v>
      </c>
      <c r="D17" t="s">
        <v>258</v>
      </c>
      <c r="E17" t="s">
        <v>259</v>
      </c>
      <c r="G17">
        <v>250</v>
      </c>
      <c r="H17">
        <v>100</v>
      </c>
      <c r="I17">
        <v>100</v>
      </c>
      <c r="J17">
        <v>50</v>
      </c>
    </row>
    <row r="18" spans="1:10" x14ac:dyDescent="0.3">
      <c r="A18">
        <v>11</v>
      </c>
      <c r="B18" t="s">
        <v>183</v>
      </c>
      <c r="C18" s="1" t="s">
        <v>184</v>
      </c>
      <c r="D18" t="s">
        <v>104</v>
      </c>
      <c r="E18" t="s">
        <v>185</v>
      </c>
      <c r="G18">
        <v>250</v>
      </c>
      <c r="H18">
        <v>100</v>
      </c>
      <c r="I18">
        <v>100</v>
      </c>
      <c r="J18">
        <v>50</v>
      </c>
    </row>
    <row r="19" spans="1:10" x14ac:dyDescent="0.3">
      <c r="A19">
        <v>11</v>
      </c>
      <c r="B19" t="s">
        <v>173</v>
      </c>
      <c r="C19" s="1" t="s">
        <v>174</v>
      </c>
      <c r="D19" t="s">
        <v>133</v>
      </c>
      <c r="E19" t="s">
        <v>175</v>
      </c>
      <c r="G19">
        <v>250</v>
      </c>
      <c r="H19">
        <v>100</v>
      </c>
      <c r="I19">
        <v>100</v>
      </c>
      <c r="J19">
        <v>50</v>
      </c>
    </row>
    <row r="20" spans="1:10" x14ac:dyDescent="0.3">
      <c r="A20">
        <v>11</v>
      </c>
      <c r="B20" t="s">
        <v>46</v>
      </c>
      <c r="C20" s="1" t="s">
        <v>47</v>
      </c>
      <c r="D20" t="s">
        <v>48</v>
      </c>
      <c r="E20" t="s">
        <v>49</v>
      </c>
      <c r="G20">
        <v>250</v>
      </c>
      <c r="H20">
        <v>100</v>
      </c>
      <c r="I20">
        <v>100</v>
      </c>
      <c r="J20">
        <v>50</v>
      </c>
    </row>
    <row r="21" spans="1:10" x14ac:dyDescent="0.3">
      <c r="A21">
        <v>11</v>
      </c>
      <c r="B21" t="s">
        <v>30</v>
      </c>
      <c r="C21" s="1" t="s">
        <v>31</v>
      </c>
      <c r="D21" t="s">
        <v>20</v>
      </c>
      <c r="E21" t="s">
        <v>32</v>
      </c>
      <c r="G21">
        <v>250</v>
      </c>
      <c r="H21">
        <v>100</v>
      </c>
      <c r="I21">
        <v>100</v>
      </c>
      <c r="J21">
        <v>50</v>
      </c>
    </row>
    <row r="22" spans="1:10" x14ac:dyDescent="0.3">
      <c r="A22">
        <v>21</v>
      </c>
      <c r="B22" t="s">
        <v>62</v>
      </c>
      <c r="C22" s="1" t="s">
        <v>63</v>
      </c>
      <c r="D22" t="s">
        <v>64</v>
      </c>
      <c r="E22" t="s">
        <v>65</v>
      </c>
      <c r="G22">
        <v>240</v>
      </c>
      <c r="H22">
        <v>100</v>
      </c>
      <c r="I22">
        <v>100</v>
      </c>
      <c r="J22">
        <v>40</v>
      </c>
    </row>
    <row r="23" spans="1:10" x14ac:dyDescent="0.3">
      <c r="A23">
        <v>21</v>
      </c>
      <c r="B23" t="s">
        <v>176</v>
      </c>
      <c r="C23" s="1" t="s">
        <v>177</v>
      </c>
      <c r="D23" t="s">
        <v>178</v>
      </c>
      <c r="E23" t="s">
        <v>179</v>
      </c>
      <c r="G23">
        <v>240</v>
      </c>
      <c r="H23">
        <v>100</v>
      </c>
      <c r="I23">
        <v>100</v>
      </c>
      <c r="J23">
        <v>40</v>
      </c>
    </row>
    <row r="24" spans="1:10" x14ac:dyDescent="0.3">
      <c r="A24">
        <v>21</v>
      </c>
      <c r="B24" t="s">
        <v>252</v>
      </c>
      <c r="C24" s="1" t="s">
        <v>253</v>
      </c>
      <c r="D24" t="s">
        <v>254</v>
      </c>
      <c r="E24" t="s">
        <v>255</v>
      </c>
      <c r="F24" t="s">
        <v>252</v>
      </c>
      <c r="G24">
        <v>240</v>
      </c>
      <c r="H24">
        <v>100</v>
      </c>
      <c r="I24">
        <v>100</v>
      </c>
      <c r="J24">
        <v>40</v>
      </c>
    </row>
    <row r="25" spans="1:10" x14ac:dyDescent="0.3">
      <c r="A25">
        <v>21</v>
      </c>
      <c r="B25" t="s">
        <v>166</v>
      </c>
      <c r="C25" s="1" t="s">
        <v>167</v>
      </c>
      <c r="D25" t="s">
        <v>168</v>
      </c>
      <c r="E25" t="s">
        <v>169</v>
      </c>
      <c r="G25">
        <v>240</v>
      </c>
      <c r="H25">
        <v>100</v>
      </c>
      <c r="I25">
        <v>100</v>
      </c>
      <c r="J25">
        <v>40</v>
      </c>
    </row>
    <row r="26" spans="1:10" x14ac:dyDescent="0.3">
      <c r="A26">
        <v>21</v>
      </c>
      <c r="B26" t="s">
        <v>344</v>
      </c>
      <c r="C26" s="1" t="s">
        <v>345</v>
      </c>
      <c r="D26" t="s">
        <v>346</v>
      </c>
      <c r="E26" t="s">
        <v>347</v>
      </c>
      <c r="G26">
        <v>240</v>
      </c>
      <c r="H26">
        <v>100</v>
      </c>
      <c r="I26">
        <v>100</v>
      </c>
      <c r="J26">
        <v>40</v>
      </c>
    </row>
    <row r="27" spans="1:10" x14ac:dyDescent="0.3">
      <c r="A27">
        <v>21</v>
      </c>
      <c r="B27" t="s">
        <v>87</v>
      </c>
      <c r="C27" s="1" t="s">
        <v>88</v>
      </c>
      <c r="D27" t="s">
        <v>89</v>
      </c>
      <c r="E27" t="s">
        <v>90</v>
      </c>
      <c r="G27">
        <v>240</v>
      </c>
      <c r="H27">
        <v>100</v>
      </c>
      <c r="I27">
        <v>100</v>
      </c>
      <c r="J27">
        <v>40</v>
      </c>
    </row>
    <row r="28" spans="1:10" x14ac:dyDescent="0.3">
      <c r="A28">
        <v>21</v>
      </c>
      <c r="B28" t="s">
        <v>243</v>
      </c>
      <c r="C28" s="1" t="s">
        <v>244</v>
      </c>
      <c r="D28" t="s">
        <v>191</v>
      </c>
      <c r="E28" t="s">
        <v>245</v>
      </c>
      <c r="G28">
        <v>240</v>
      </c>
      <c r="H28">
        <v>100</v>
      </c>
      <c r="I28">
        <v>100</v>
      </c>
      <c r="J28">
        <v>40</v>
      </c>
    </row>
    <row r="29" spans="1:10" x14ac:dyDescent="0.3">
      <c r="A29">
        <v>21</v>
      </c>
      <c r="B29" t="s">
        <v>135</v>
      </c>
      <c r="C29" s="1" t="s">
        <v>136</v>
      </c>
      <c r="D29" t="s">
        <v>28</v>
      </c>
      <c r="E29" t="s">
        <v>137</v>
      </c>
      <c r="G29">
        <v>240</v>
      </c>
      <c r="H29">
        <v>100</v>
      </c>
      <c r="I29">
        <v>100</v>
      </c>
      <c r="J29">
        <v>40</v>
      </c>
    </row>
    <row r="30" spans="1:10" x14ac:dyDescent="0.3">
      <c r="A30">
        <v>21</v>
      </c>
      <c r="B30" t="s">
        <v>91</v>
      </c>
      <c r="C30" s="1" t="s">
        <v>92</v>
      </c>
      <c r="D30" t="s">
        <v>12</v>
      </c>
      <c r="E30" t="s">
        <v>93</v>
      </c>
      <c r="G30">
        <v>240</v>
      </c>
      <c r="H30">
        <v>100</v>
      </c>
      <c r="I30">
        <v>100</v>
      </c>
      <c r="J30">
        <v>40</v>
      </c>
    </row>
    <row r="31" spans="1:10" x14ac:dyDescent="0.3">
      <c r="A31">
        <v>21</v>
      </c>
      <c r="B31" t="s">
        <v>513</v>
      </c>
      <c r="C31" s="1" t="s">
        <v>514</v>
      </c>
      <c r="D31" t="s">
        <v>108</v>
      </c>
      <c r="E31" t="s">
        <v>515</v>
      </c>
      <c r="G31">
        <v>240</v>
      </c>
      <c r="H31">
        <v>100</v>
      </c>
      <c r="I31">
        <v>100</v>
      </c>
      <c r="J31">
        <v>40</v>
      </c>
    </row>
    <row r="32" spans="1:10" x14ac:dyDescent="0.3">
      <c r="A32">
        <v>21</v>
      </c>
      <c r="B32" t="s">
        <v>14</v>
      </c>
      <c r="C32" s="1" t="s">
        <v>15</v>
      </c>
      <c r="D32" t="s">
        <v>16</v>
      </c>
      <c r="E32" t="s">
        <v>17</v>
      </c>
      <c r="G32">
        <v>240</v>
      </c>
      <c r="H32">
        <v>100</v>
      </c>
      <c r="I32">
        <v>100</v>
      </c>
      <c r="J32">
        <v>40</v>
      </c>
    </row>
    <row r="33" spans="1:10" x14ac:dyDescent="0.3">
      <c r="A33">
        <v>21</v>
      </c>
      <c r="B33" t="s">
        <v>153</v>
      </c>
      <c r="C33" s="1" t="s">
        <v>154</v>
      </c>
      <c r="D33" t="s">
        <v>155</v>
      </c>
      <c r="E33" t="s">
        <v>156</v>
      </c>
      <c r="G33">
        <v>240</v>
      </c>
      <c r="H33">
        <v>100</v>
      </c>
      <c r="I33">
        <v>100</v>
      </c>
      <c r="J33">
        <v>40</v>
      </c>
    </row>
    <row r="34" spans="1:10" x14ac:dyDescent="0.3">
      <c r="A34">
        <v>21</v>
      </c>
      <c r="B34" t="s">
        <v>70</v>
      </c>
      <c r="C34" s="1" t="s">
        <v>71</v>
      </c>
      <c r="D34" t="s">
        <v>16</v>
      </c>
      <c r="E34" t="s">
        <v>72</v>
      </c>
      <c r="G34">
        <v>240</v>
      </c>
      <c r="H34">
        <v>100</v>
      </c>
      <c r="I34">
        <v>100</v>
      </c>
      <c r="J34">
        <v>40</v>
      </c>
    </row>
    <row r="35" spans="1:10" x14ac:dyDescent="0.3">
      <c r="A35">
        <v>21</v>
      </c>
      <c r="B35" t="s">
        <v>33</v>
      </c>
      <c r="C35" s="1" t="s">
        <v>34</v>
      </c>
      <c r="D35" t="s">
        <v>16</v>
      </c>
      <c r="E35" t="s">
        <v>35</v>
      </c>
      <c r="G35">
        <v>240</v>
      </c>
      <c r="H35">
        <v>100</v>
      </c>
      <c r="I35">
        <v>100</v>
      </c>
      <c r="J35">
        <v>40</v>
      </c>
    </row>
    <row r="36" spans="1:10" x14ac:dyDescent="0.3">
      <c r="A36">
        <v>21</v>
      </c>
      <c r="B36" t="s">
        <v>466</v>
      </c>
      <c r="C36" s="1" t="s">
        <v>467</v>
      </c>
      <c r="D36" t="s">
        <v>48</v>
      </c>
      <c r="E36" t="s">
        <v>468</v>
      </c>
      <c r="G36">
        <v>240</v>
      </c>
      <c r="H36">
        <v>100</v>
      </c>
      <c r="I36">
        <v>100</v>
      </c>
      <c r="J36">
        <v>40</v>
      </c>
    </row>
    <row r="37" spans="1:10" x14ac:dyDescent="0.3">
      <c r="A37">
        <v>21</v>
      </c>
      <c r="B37" t="s">
        <v>83</v>
      </c>
      <c r="C37" s="1" t="s">
        <v>84</v>
      </c>
      <c r="D37" t="s">
        <v>85</v>
      </c>
      <c r="E37" t="s">
        <v>86</v>
      </c>
      <c r="G37">
        <v>240</v>
      </c>
      <c r="H37">
        <v>100</v>
      </c>
      <c r="I37">
        <v>100</v>
      </c>
      <c r="J37">
        <v>40</v>
      </c>
    </row>
    <row r="38" spans="1:10" x14ac:dyDescent="0.3">
      <c r="A38">
        <v>21</v>
      </c>
      <c r="B38" t="s">
        <v>102</v>
      </c>
      <c r="C38" s="1" t="s">
        <v>103</v>
      </c>
      <c r="D38" t="s">
        <v>104</v>
      </c>
      <c r="E38" t="s">
        <v>105</v>
      </c>
      <c r="G38">
        <v>240</v>
      </c>
      <c r="H38">
        <v>100</v>
      </c>
      <c r="I38">
        <v>100</v>
      </c>
      <c r="J38">
        <v>40</v>
      </c>
    </row>
    <row r="39" spans="1:10" x14ac:dyDescent="0.3">
      <c r="A39">
        <v>21</v>
      </c>
      <c r="B39" t="s">
        <v>110</v>
      </c>
      <c r="C39" s="1" t="s">
        <v>111</v>
      </c>
      <c r="D39" t="s">
        <v>96</v>
      </c>
      <c r="E39" t="s">
        <v>112</v>
      </c>
      <c r="G39">
        <v>240</v>
      </c>
      <c r="H39">
        <v>100</v>
      </c>
      <c r="I39">
        <v>100</v>
      </c>
      <c r="J39">
        <v>40</v>
      </c>
    </row>
    <row r="40" spans="1:10" x14ac:dyDescent="0.3">
      <c r="A40">
        <v>21</v>
      </c>
      <c r="B40" t="s">
        <v>543</v>
      </c>
      <c r="C40" s="1" t="s">
        <v>544</v>
      </c>
      <c r="D40" t="s">
        <v>191</v>
      </c>
      <c r="E40" t="s">
        <v>545</v>
      </c>
      <c r="G40">
        <v>240</v>
      </c>
      <c r="H40">
        <v>100</v>
      </c>
      <c r="I40">
        <v>100</v>
      </c>
      <c r="J40">
        <v>40</v>
      </c>
    </row>
    <row r="41" spans="1:10" x14ac:dyDescent="0.3">
      <c r="A41">
        <v>21</v>
      </c>
      <c r="B41" t="s">
        <v>536</v>
      </c>
      <c r="C41" s="1" t="s">
        <v>537</v>
      </c>
      <c r="D41" t="s">
        <v>191</v>
      </c>
      <c r="E41" t="s">
        <v>538</v>
      </c>
      <c r="G41">
        <v>240</v>
      </c>
      <c r="H41">
        <v>100</v>
      </c>
      <c r="I41">
        <v>100</v>
      </c>
      <c r="J41">
        <v>40</v>
      </c>
    </row>
    <row r="42" spans="1:10" x14ac:dyDescent="0.3">
      <c r="A42">
        <v>21</v>
      </c>
      <c r="B42" t="s">
        <v>412</v>
      </c>
      <c r="C42" s="1" t="s">
        <v>413</v>
      </c>
      <c r="D42" t="s">
        <v>414</v>
      </c>
      <c r="E42" t="s">
        <v>415</v>
      </c>
      <c r="G42">
        <v>240</v>
      </c>
      <c r="H42">
        <v>100</v>
      </c>
      <c r="I42">
        <v>100</v>
      </c>
      <c r="J42">
        <v>40</v>
      </c>
    </row>
    <row r="43" spans="1:10" x14ac:dyDescent="0.3">
      <c r="A43">
        <v>42</v>
      </c>
      <c r="B43" t="s">
        <v>160</v>
      </c>
      <c r="C43" s="1" t="s">
        <v>161</v>
      </c>
      <c r="D43" t="s">
        <v>60</v>
      </c>
      <c r="E43" t="s">
        <v>162</v>
      </c>
      <c r="G43">
        <v>230</v>
      </c>
      <c r="H43">
        <v>100</v>
      </c>
      <c r="I43">
        <v>60</v>
      </c>
      <c r="J43">
        <v>70</v>
      </c>
    </row>
    <row r="44" spans="1:10" x14ac:dyDescent="0.3">
      <c r="A44">
        <v>42</v>
      </c>
      <c r="B44" t="s">
        <v>138</v>
      </c>
      <c r="C44" s="1" t="s">
        <v>139</v>
      </c>
      <c r="D44" t="s">
        <v>20</v>
      </c>
      <c r="E44" t="s">
        <v>140</v>
      </c>
      <c r="G44">
        <v>230</v>
      </c>
      <c r="H44">
        <v>100</v>
      </c>
      <c r="I44">
        <v>100</v>
      </c>
      <c r="J44">
        <v>30</v>
      </c>
    </row>
    <row r="45" spans="1:10" x14ac:dyDescent="0.3">
      <c r="A45">
        <v>44</v>
      </c>
      <c r="B45" t="s">
        <v>18</v>
      </c>
      <c r="C45" s="1" t="s">
        <v>19</v>
      </c>
      <c r="D45" t="s">
        <v>20</v>
      </c>
      <c r="E45" t="s">
        <v>21</v>
      </c>
      <c r="G45">
        <v>225</v>
      </c>
      <c r="H45">
        <v>85</v>
      </c>
      <c r="I45">
        <v>40</v>
      </c>
      <c r="J45">
        <v>100</v>
      </c>
    </row>
    <row r="46" spans="1:10" x14ac:dyDescent="0.3">
      <c r="A46">
        <v>45</v>
      </c>
      <c r="B46" t="s">
        <v>58</v>
      </c>
      <c r="C46" s="1" t="s">
        <v>59</v>
      </c>
      <c r="D46" t="s">
        <v>60</v>
      </c>
      <c r="E46" t="s">
        <v>61</v>
      </c>
      <c r="G46">
        <v>224</v>
      </c>
      <c r="H46">
        <v>84</v>
      </c>
      <c r="I46">
        <v>100</v>
      </c>
      <c r="J46">
        <v>40</v>
      </c>
    </row>
    <row r="47" spans="1:10" x14ac:dyDescent="0.3">
      <c r="A47">
        <v>45</v>
      </c>
      <c r="B47" t="s">
        <v>39</v>
      </c>
      <c r="C47" s="1" t="s">
        <v>40</v>
      </c>
      <c r="D47" t="s">
        <v>41</v>
      </c>
      <c r="E47" t="s">
        <v>42</v>
      </c>
      <c r="G47">
        <v>224</v>
      </c>
      <c r="H47">
        <v>84</v>
      </c>
      <c r="I47">
        <v>100</v>
      </c>
      <c r="J47">
        <v>40</v>
      </c>
    </row>
    <row r="48" spans="1:10" x14ac:dyDescent="0.3">
      <c r="A48">
        <v>45</v>
      </c>
      <c r="B48" t="s">
        <v>170</v>
      </c>
      <c r="C48" s="1" t="s">
        <v>171</v>
      </c>
      <c r="D48" t="s">
        <v>48</v>
      </c>
      <c r="E48" t="s">
        <v>172</v>
      </c>
      <c r="G48">
        <v>224</v>
      </c>
      <c r="H48">
        <v>84</v>
      </c>
      <c r="I48">
        <v>100</v>
      </c>
      <c r="J48">
        <v>40</v>
      </c>
    </row>
    <row r="49" spans="1:10" x14ac:dyDescent="0.3">
      <c r="A49">
        <v>45</v>
      </c>
      <c r="B49" t="s">
        <v>260</v>
      </c>
      <c r="C49" s="1" t="s">
        <v>261</v>
      </c>
      <c r="D49" t="s">
        <v>96</v>
      </c>
      <c r="E49" t="s">
        <v>262</v>
      </c>
      <c r="G49">
        <v>224</v>
      </c>
      <c r="H49">
        <v>84</v>
      </c>
      <c r="I49">
        <v>100</v>
      </c>
      <c r="J49">
        <v>40</v>
      </c>
    </row>
    <row r="50" spans="1:10" x14ac:dyDescent="0.3">
      <c r="A50">
        <v>49</v>
      </c>
      <c r="B50" t="s">
        <v>98</v>
      </c>
      <c r="C50" s="1" t="s">
        <v>99</v>
      </c>
      <c r="D50" t="s">
        <v>100</v>
      </c>
      <c r="E50" t="s">
        <v>101</v>
      </c>
      <c r="G50">
        <v>220</v>
      </c>
      <c r="H50">
        <v>100</v>
      </c>
      <c r="I50">
        <v>100</v>
      </c>
      <c r="J50">
        <v>20</v>
      </c>
    </row>
    <row r="51" spans="1:10" x14ac:dyDescent="0.3">
      <c r="A51">
        <v>49</v>
      </c>
      <c r="B51" t="s">
        <v>397</v>
      </c>
      <c r="C51" s="1" t="s">
        <v>398</v>
      </c>
      <c r="D51" t="s">
        <v>191</v>
      </c>
      <c r="E51" t="s">
        <v>399</v>
      </c>
      <c r="G51">
        <v>220</v>
      </c>
      <c r="H51">
        <v>100</v>
      </c>
      <c r="I51">
        <v>100</v>
      </c>
      <c r="J51">
        <v>20</v>
      </c>
    </row>
    <row r="52" spans="1:10" x14ac:dyDescent="0.3">
      <c r="A52">
        <v>49</v>
      </c>
      <c r="B52" t="s">
        <v>385</v>
      </c>
      <c r="C52" s="1" t="s">
        <v>386</v>
      </c>
      <c r="D52" t="s">
        <v>346</v>
      </c>
      <c r="E52" t="s">
        <v>387</v>
      </c>
      <c r="G52">
        <v>220</v>
      </c>
      <c r="H52">
        <v>100</v>
      </c>
      <c r="I52">
        <v>100</v>
      </c>
      <c r="J52">
        <v>20</v>
      </c>
    </row>
    <row r="53" spans="1:10" x14ac:dyDescent="0.3">
      <c r="A53">
        <v>49</v>
      </c>
      <c r="B53" t="s">
        <v>208</v>
      </c>
      <c r="C53" s="1" t="s">
        <v>209</v>
      </c>
      <c r="D53" t="s">
        <v>16</v>
      </c>
      <c r="E53" t="s">
        <v>210</v>
      </c>
      <c r="G53">
        <v>220</v>
      </c>
      <c r="H53">
        <v>100</v>
      </c>
      <c r="I53">
        <v>100</v>
      </c>
      <c r="J53">
        <v>20</v>
      </c>
    </row>
    <row r="54" spans="1:10" x14ac:dyDescent="0.3">
      <c r="A54">
        <v>53</v>
      </c>
      <c r="B54" t="s">
        <v>54</v>
      </c>
      <c r="C54" s="1" t="s">
        <v>55</v>
      </c>
      <c r="D54" t="s">
        <v>56</v>
      </c>
      <c r="E54" t="s">
        <v>57</v>
      </c>
      <c r="G54">
        <v>218</v>
      </c>
      <c r="H54">
        <v>78</v>
      </c>
      <c r="I54">
        <v>100</v>
      </c>
      <c r="J54">
        <v>40</v>
      </c>
    </row>
    <row r="55" spans="1:10" x14ac:dyDescent="0.3">
      <c r="A55">
        <v>54</v>
      </c>
      <c r="B55" t="s">
        <v>145</v>
      </c>
      <c r="C55" s="1" t="s">
        <v>146</v>
      </c>
      <c r="D55" t="s">
        <v>147</v>
      </c>
      <c r="E55" t="s">
        <v>148</v>
      </c>
      <c r="G55">
        <v>214</v>
      </c>
      <c r="H55">
        <v>84</v>
      </c>
      <c r="I55">
        <v>100</v>
      </c>
      <c r="J55">
        <v>30</v>
      </c>
    </row>
    <row r="56" spans="1:10" x14ac:dyDescent="0.3">
      <c r="A56">
        <v>55</v>
      </c>
      <c r="B56" t="s">
        <v>329</v>
      </c>
      <c r="C56" s="1" t="s">
        <v>330</v>
      </c>
      <c r="D56" t="s">
        <v>216</v>
      </c>
      <c r="E56" t="s">
        <v>331</v>
      </c>
      <c r="G56">
        <v>210</v>
      </c>
      <c r="H56">
        <v>100</v>
      </c>
      <c r="I56">
        <v>60</v>
      </c>
      <c r="J56">
        <v>50</v>
      </c>
    </row>
    <row r="57" spans="1:10" x14ac:dyDescent="0.3">
      <c r="A57">
        <v>55</v>
      </c>
      <c r="B57" t="s">
        <v>79</v>
      </c>
      <c r="C57" s="1" t="s">
        <v>80</v>
      </c>
      <c r="D57" t="s">
        <v>81</v>
      </c>
      <c r="E57" t="s">
        <v>82</v>
      </c>
      <c r="G57">
        <v>210</v>
      </c>
      <c r="H57">
        <v>100</v>
      </c>
      <c r="I57">
        <v>60</v>
      </c>
      <c r="J57">
        <v>50</v>
      </c>
    </row>
    <row r="58" spans="1:10" x14ac:dyDescent="0.3">
      <c r="A58">
        <v>55</v>
      </c>
      <c r="B58" t="s">
        <v>116</v>
      </c>
      <c r="C58" s="1" t="s">
        <v>117</v>
      </c>
      <c r="D58" t="s">
        <v>118</v>
      </c>
      <c r="E58" t="s">
        <v>119</v>
      </c>
      <c r="G58">
        <v>210</v>
      </c>
      <c r="H58">
        <v>100</v>
      </c>
      <c r="I58">
        <v>100</v>
      </c>
      <c r="J58">
        <v>10</v>
      </c>
    </row>
    <row r="59" spans="1:10" x14ac:dyDescent="0.3">
      <c r="A59">
        <v>58</v>
      </c>
      <c r="B59" t="s">
        <v>221</v>
      </c>
      <c r="C59" s="1" t="s">
        <v>222</v>
      </c>
      <c r="D59" t="s">
        <v>223</v>
      </c>
      <c r="E59" t="s">
        <v>224</v>
      </c>
      <c r="G59">
        <v>208</v>
      </c>
      <c r="H59">
        <v>88</v>
      </c>
      <c r="I59">
        <v>100</v>
      </c>
      <c r="J59">
        <v>20</v>
      </c>
    </row>
    <row r="60" spans="1:10" x14ac:dyDescent="0.3">
      <c r="A60">
        <v>59</v>
      </c>
      <c r="B60" t="s">
        <v>482</v>
      </c>
      <c r="C60" s="1" t="s">
        <v>483</v>
      </c>
      <c r="D60" t="s">
        <v>24</v>
      </c>
      <c r="E60" t="s">
        <v>484</v>
      </c>
      <c r="G60">
        <v>204</v>
      </c>
      <c r="H60">
        <v>84</v>
      </c>
      <c r="I60">
        <v>100</v>
      </c>
      <c r="J60">
        <v>20</v>
      </c>
    </row>
    <row r="61" spans="1:10" x14ac:dyDescent="0.3">
      <c r="A61">
        <v>60</v>
      </c>
      <c r="B61" t="s">
        <v>120</v>
      </c>
      <c r="C61" s="1" t="s">
        <v>121</v>
      </c>
      <c r="D61" t="s">
        <v>122</v>
      </c>
      <c r="E61" t="s">
        <v>123</v>
      </c>
      <c r="G61">
        <v>200</v>
      </c>
      <c r="H61">
        <v>100</v>
      </c>
      <c r="I61">
        <v>60</v>
      </c>
      <c r="J61">
        <v>40</v>
      </c>
    </row>
    <row r="62" spans="1:10" x14ac:dyDescent="0.3">
      <c r="A62">
        <v>60</v>
      </c>
      <c r="B62" t="s">
        <v>357</v>
      </c>
      <c r="C62" s="1" t="s">
        <v>358</v>
      </c>
      <c r="D62" t="s">
        <v>68</v>
      </c>
      <c r="E62" t="s">
        <v>359</v>
      </c>
      <c r="G62">
        <v>200</v>
      </c>
      <c r="H62">
        <v>100</v>
      </c>
      <c r="I62">
        <v>60</v>
      </c>
      <c r="J62">
        <v>40</v>
      </c>
    </row>
    <row r="63" spans="1:10" x14ac:dyDescent="0.3">
      <c r="A63">
        <v>60</v>
      </c>
      <c r="B63" t="s">
        <v>400</v>
      </c>
      <c r="C63" s="1" t="s">
        <v>401</v>
      </c>
      <c r="D63" t="s">
        <v>89</v>
      </c>
      <c r="E63" t="s">
        <v>402</v>
      </c>
      <c r="G63">
        <v>200</v>
      </c>
      <c r="H63">
        <v>100</v>
      </c>
      <c r="I63">
        <v>60</v>
      </c>
      <c r="J63">
        <v>40</v>
      </c>
    </row>
    <row r="64" spans="1:10" x14ac:dyDescent="0.3">
      <c r="A64">
        <v>60</v>
      </c>
      <c r="B64" t="s">
        <v>218</v>
      </c>
      <c r="C64" s="1" t="s">
        <v>219</v>
      </c>
      <c r="D64" t="s">
        <v>16</v>
      </c>
      <c r="E64" t="s">
        <v>220</v>
      </c>
      <c r="G64">
        <v>200</v>
      </c>
      <c r="H64">
        <v>100</v>
      </c>
      <c r="I64">
        <v>60</v>
      </c>
      <c r="J64">
        <v>40</v>
      </c>
    </row>
    <row r="65" spans="1:10" x14ac:dyDescent="0.3">
      <c r="A65">
        <v>60</v>
      </c>
      <c r="B65" t="s">
        <v>360</v>
      </c>
      <c r="C65" s="1" t="s">
        <v>361</v>
      </c>
      <c r="D65" t="s">
        <v>362</v>
      </c>
      <c r="E65" t="s">
        <v>363</v>
      </c>
      <c r="G65">
        <v>200</v>
      </c>
      <c r="H65">
        <v>100</v>
      </c>
      <c r="I65">
        <v>60</v>
      </c>
      <c r="J65">
        <v>40</v>
      </c>
    </row>
    <row r="66" spans="1:10" x14ac:dyDescent="0.3">
      <c r="A66">
        <v>60</v>
      </c>
      <c r="B66" t="s">
        <v>364</v>
      </c>
      <c r="C66" s="1" t="s">
        <v>365</v>
      </c>
      <c r="D66" t="s">
        <v>12</v>
      </c>
      <c r="E66" t="s">
        <v>366</v>
      </c>
      <c r="G66">
        <v>200</v>
      </c>
      <c r="H66">
        <v>100</v>
      </c>
      <c r="I66">
        <v>60</v>
      </c>
      <c r="J66">
        <v>40</v>
      </c>
    </row>
    <row r="67" spans="1:10" x14ac:dyDescent="0.3">
      <c r="A67">
        <v>60</v>
      </c>
      <c r="B67" t="s">
        <v>149</v>
      </c>
      <c r="C67" s="1" t="s">
        <v>150</v>
      </c>
      <c r="D67" t="s">
        <v>151</v>
      </c>
      <c r="E67" t="s">
        <v>152</v>
      </c>
      <c r="G67">
        <v>200</v>
      </c>
      <c r="H67">
        <v>100</v>
      </c>
      <c r="I67">
        <v>60</v>
      </c>
      <c r="J67">
        <v>40</v>
      </c>
    </row>
    <row r="68" spans="1:10" x14ac:dyDescent="0.3">
      <c r="A68">
        <v>60</v>
      </c>
      <c r="B68" t="s">
        <v>269</v>
      </c>
      <c r="C68" s="1" t="s">
        <v>270</v>
      </c>
      <c r="D68" t="s">
        <v>81</v>
      </c>
      <c r="E68" t="s">
        <v>271</v>
      </c>
      <c r="G68">
        <v>200</v>
      </c>
      <c r="H68">
        <v>100</v>
      </c>
      <c r="I68">
        <v>60</v>
      </c>
      <c r="J68">
        <v>40</v>
      </c>
    </row>
    <row r="69" spans="1:10" x14ac:dyDescent="0.3">
      <c r="A69">
        <v>68</v>
      </c>
      <c r="B69" t="s">
        <v>335</v>
      </c>
      <c r="C69" s="1" t="s">
        <v>336</v>
      </c>
      <c r="D69" t="s">
        <v>16</v>
      </c>
      <c r="E69" t="s">
        <v>337</v>
      </c>
      <c r="G69">
        <v>198</v>
      </c>
      <c r="H69">
        <v>78</v>
      </c>
      <c r="I69">
        <v>100</v>
      </c>
      <c r="J69">
        <v>20</v>
      </c>
    </row>
    <row r="70" spans="1:10" x14ac:dyDescent="0.3">
      <c r="A70">
        <v>69</v>
      </c>
      <c r="B70" t="s">
        <v>277</v>
      </c>
      <c r="C70" s="1" t="s">
        <v>278</v>
      </c>
      <c r="D70" t="s">
        <v>60</v>
      </c>
      <c r="E70" t="s">
        <v>279</v>
      </c>
      <c r="G70">
        <v>194</v>
      </c>
      <c r="H70">
        <v>84</v>
      </c>
      <c r="I70">
        <v>100</v>
      </c>
      <c r="J70">
        <v>10</v>
      </c>
    </row>
    <row r="71" spans="1:10" x14ac:dyDescent="0.3">
      <c r="A71">
        <v>70</v>
      </c>
      <c r="B71" t="s">
        <v>180</v>
      </c>
      <c r="C71" s="1" t="s">
        <v>181</v>
      </c>
      <c r="D71" t="s">
        <v>178</v>
      </c>
      <c r="E71" t="s">
        <v>182</v>
      </c>
      <c r="G71">
        <v>190</v>
      </c>
      <c r="H71">
        <v>100</v>
      </c>
      <c r="I71">
        <v>60</v>
      </c>
      <c r="J71">
        <v>30</v>
      </c>
    </row>
    <row r="72" spans="1:10" x14ac:dyDescent="0.3">
      <c r="A72">
        <v>70</v>
      </c>
      <c r="B72" t="s">
        <v>473</v>
      </c>
      <c r="C72" s="1" t="s">
        <v>474</v>
      </c>
      <c r="D72" t="s">
        <v>100</v>
      </c>
      <c r="E72" t="s">
        <v>475</v>
      </c>
      <c r="G72">
        <v>190</v>
      </c>
      <c r="H72">
        <v>100</v>
      </c>
      <c r="I72">
        <v>40</v>
      </c>
      <c r="J72">
        <v>50</v>
      </c>
    </row>
    <row r="73" spans="1:10" x14ac:dyDescent="0.3">
      <c r="A73">
        <v>70</v>
      </c>
      <c r="B73" t="s">
        <v>320</v>
      </c>
      <c r="C73" s="1" t="s">
        <v>321</v>
      </c>
      <c r="D73" t="s">
        <v>52</v>
      </c>
      <c r="E73" t="s">
        <v>322</v>
      </c>
      <c r="G73">
        <v>190</v>
      </c>
      <c r="H73">
        <v>100</v>
      </c>
      <c r="I73">
        <v>40</v>
      </c>
      <c r="J73">
        <v>50</v>
      </c>
    </row>
    <row r="74" spans="1:10" x14ac:dyDescent="0.3">
      <c r="A74">
        <v>70</v>
      </c>
      <c r="B74" t="s">
        <v>202</v>
      </c>
      <c r="C74" s="1" t="s">
        <v>203</v>
      </c>
      <c r="D74" t="s">
        <v>81</v>
      </c>
      <c r="E74" t="s">
        <v>204</v>
      </c>
      <c r="G74">
        <v>190</v>
      </c>
      <c r="H74">
        <v>100</v>
      </c>
      <c r="I74">
        <v>40</v>
      </c>
      <c r="J74">
        <v>50</v>
      </c>
    </row>
    <row r="75" spans="1:10" x14ac:dyDescent="0.3">
      <c r="A75">
        <v>74</v>
      </c>
      <c r="B75" t="s">
        <v>374</v>
      </c>
      <c r="C75" s="1" t="s">
        <v>375</v>
      </c>
      <c r="D75" t="s">
        <v>24</v>
      </c>
      <c r="E75" t="s">
        <v>376</v>
      </c>
      <c r="G75">
        <v>189</v>
      </c>
      <c r="H75">
        <v>79</v>
      </c>
      <c r="I75">
        <v>60</v>
      </c>
      <c r="J75">
        <v>50</v>
      </c>
    </row>
    <row r="76" spans="1:10" x14ac:dyDescent="0.3">
      <c r="A76">
        <v>75</v>
      </c>
      <c r="B76" t="s">
        <v>73</v>
      </c>
      <c r="C76" s="1" t="s">
        <v>74</v>
      </c>
      <c r="D76" t="s">
        <v>28</v>
      </c>
      <c r="E76" t="s">
        <v>75</v>
      </c>
      <c r="G76">
        <v>188</v>
      </c>
      <c r="H76">
        <v>88</v>
      </c>
      <c r="I76">
        <v>60</v>
      </c>
      <c r="J76">
        <v>40</v>
      </c>
    </row>
    <row r="77" spans="1:10" x14ac:dyDescent="0.3">
      <c r="A77">
        <v>76</v>
      </c>
      <c r="B77" t="s">
        <v>307</v>
      </c>
      <c r="C77" s="1" t="s">
        <v>308</v>
      </c>
      <c r="D77" t="s">
        <v>52</v>
      </c>
      <c r="E77" t="s">
        <v>309</v>
      </c>
      <c r="G77">
        <v>182</v>
      </c>
      <c r="H77">
        <v>82</v>
      </c>
      <c r="I77">
        <v>60</v>
      </c>
      <c r="J77">
        <v>40</v>
      </c>
    </row>
    <row r="78" spans="1:10" x14ac:dyDescent="0.3">
      <c r="A78">
        <v>77</v>
      </c>
      <c r="B78" t="s">
        <v>246</v>
      </c>
      <c r="C78" s="1" t="s">
        <v>247</v>
      </c>
      <c r="D78" t="s">
        <v>178</v>
      </c>
      <c r="E78" t="s">
        <v>248</v>
      </c>
      <c r="G78">
        <v>180</v>
      </c>
      <c r="H78">
        <v>100</v>
      </c>
      <c r="I78">
        <v>40</v>
      </c>
      <c r="J78">
        <v>40</v>
      </c>
    </row>
    <row r="79" spans="1:10" x14ac:dyDescent="0.3">
      <c r="A79">
        <v>77</v>
      </c>
      <c r="B79" t="s">
        <v>280</v>
      </c>
      <c r="C79" s="1" t="s">
        <v>281</v>
      </c>
      <c r="D79" t="s">
        <v>282</v>
      </c>
      <c r="E79" t="s">
        <v>283</v>
      </c>
      <c r="G79">
        <v>180</v>
      </c>
      <c r="H79">
        <v>100</v>
      </c>
      <c r="I79">
        <v>40</v>
      </c>
      <c r="J79">
        <v>40</v>
      </c>
    </row>
    <row r="80" spans="1:10" x14ac:dyDescent="0.3">
      <c r="A80">
        <v>77</v>
      </c>
      <c r="B80" t="s">
        <v>371</v>
      </c>
      <c r="C80" s="1" t="s">
        <v>372</v>
      </c>
      <c r="D80" t="s">
        <v>178</v>
      </c>
      <c r="E80" t="s">
        <v>373</v>
      </c>
      <c r="G80">
        <v>180</v>
      </c>
      <c r="H80">
        <v>100</v>
      </c>
      <c r="I80">
        <v>40</v>
      </c>
      <c r="J80">
        <v>40</v>
      </c>
    </row>
    <row r="81" spans="1:10" x14ac:dyDescent="0.3">
      <c r="A81">
        <v>77</v>
      </c>
      <c r="B81" t="s">
        <v>293</v>
      </c>
      <c r="C81" s="1" t="s">
        <v>294</v>
      </c>
      <c r="D81" t="s">
        <v>216</v>
      </c>
      <c r="E81" t="s">
        <v>295</v>
      </c>
      <c r="G81">
        <v>180</v>
      </c>
      <c r="H81">
        <v>100</v>
      </c>
      <c r="I81">
        <v>40</v>
      </c>
      <c r="J81">
        <v>40</v>
      </c>
    </row>
    <row r="82" spans="1:10" x14ac:dyDescent="0.3">
      <c r="A82">
        <v>77</v>
      </c>
      <c r="B82" t="s">
        <v>497</v>
      </c>
      <c r="C82" s="1" t="s">
        <v>498</v>
      </c>
      <c r="D82" t="s">
        <v>282</v>
      </c>
      <c r="E82" t="s">
        <v>499</v>
      </c>
      <c r="G82">
        <v>180</v>
      </c>
      <c r="H82">
        <v>100</v>
      </c>
      <c r="I82">
        <v>40</v>
      </c>
      <c r="J82">
        <v>40</v>
      </c>
    </row>
    <row r="83" spans="1:10" x14ac:dyDescent="0.3">
      <c r="A83">
        <v>77</v>
      </c>
      <c r="B83" t="s">
        <v>367</v>
      </c>
      <c r="C83" s="1" t="s">
        <v>368</v>
      </c>
      <c r="D83" t="s">
        <v>369</v>
      </c>
      <c r="E83" t="s">
        <v>370</v>
      </c>
      <c r="G83">
        <v>180</v>
      </c>
      <c r="H83">
        <v>100</v>
      </c>
      <c r="I83">
        <v>40</v>
      </c>
      <c r="J83">
        <v>40</v>
      </c>
    </row>
    <row r="84" spans="1:10" x14ac:dyDescent="0.3">
      <c r="A84">
        <v>77</v>
      </c>
      <c r="B84" t="s">
        <v>26</v>
      </c>
      <c r="C84" s="1" t="s">
        <v>27</v>
      </c>
      <c r="D84" t="s">
        <v>28</v>
      </c>
      <c r="E84" t="s">
        <v>29</v>
      </c>
      <c r="G84">
        <v>180</v>
      </c>
      <c r="H84">
        <v>100</v>
      </c>
      <c r="I84">
        <v>40</v>
      </c>
      <c r="J84">
        <v>40</v>
      </c>
    </row>
    <row r="85" spans="1:10" x14ac:dyDescent="0.3">
      <c r="A85">
        <v>77</v>
      </c>
      <c r="B85" t="s">
        <v>430</v>
      </c>
      <c r="C85" s="1" t="s">
        <v>431</v>
      </c>
      <c r="D85" t="s">
        <v>258</v>
      </c>
      <c r="E85" t="s">
        <v>432</v>
      </c>
      <c r="G85">
        <v>180</v>
      </c>
      <c r="H85">
        <v>100</v>
      </c>
      <c r="I85">
        <v>40</v>
      </c>
      <c r="J85">
        <v>40</v>
      </c>
    </row>
    <row r="86" spans="1:10" x14ac:dyDescent="0.3">
      <c r="A86">
        <v>77</v>
      </c>
      <c r="B86" t="s">
        <v>124</v>
      </c>
      <c r="C86" s="1" t="s">
        <v>125</v>
      </c>
      <c r="D86" t="s">
        <v>126</v>
      </c>
      <c r="E86" t="s">
        <v>127</v>
      </c>
      <c r="G86">
        <v>180</v>
      </c>
      <c r="H86">
        <v>100</v>
      </c>
      <c r="I86">
        <v>40</v>
      </c>
      <c r="J86">
        <v>40</v>
      </c>
    </row>
    <row r="87" spans="1:10" x14ac:dyDescent="0.3">
      <c r="A87">
        <v>77</v>
      </c>
      <c r="B87" t="s">
        <v>553</v>
      </c>
      <c r="C87" s="1" t="s">
        <v>554</v>
      </c>
      <c r="D87" t="s">
        <v>555</v>
      </c>
      <c r="E87" t="s">
        <v>556</v>
      </c>
      <c r="G87">
        <v>180</v>
      </c>
      <c r="H87">
        <v>100</v>
      </c>
      <c r="I87">
        <v>40</v>
      </c>
      <c r="J87">
        <v>40</v>
      </c>
    </row>
    <row r="88" spans="1:10" x14ac:dyDescent="0.3">
      <c r="A88">
        <v>77</v>
      </c>
      <c r="B88" t="s">
        <v>453</v>
      </c>
      <c r="C88" s="1" t="s">
        <v>454</v>
      </c>
      <c r="D88" t="s">
        <v>81</v>
      </c>
      <c r="E88" t="s">
        <v>455</v>
      </c>
      <c r="G88">
        <v>180</v>
      </c>
      <c r="H88">
        <v>100</v>
      </c>
      <c r="I88">
        <v>40</v>
      </c>
      <c r="J88">
        <v>40</v>
      </c>
    </row>
    <row r="89" spans="1:10" x14ac:dyDescent="0.3">
      <c r="A89">
        <v>77</v>
      </c>
      <c r="B89" t="s">
        <v>128</v>
      </c>
      <c r="C89" s="1" t="s">
        <v>129</v>
      </c>
      <c r="D89" t="s">
        <v>89</v>
      </c>
      <c r="E89" t="s">
        <v>130</v>
      </c>
      <c r="G89">
        <v>180</v>
      </c>
      <c r="H89">
        <v>100</v>
      </c>
      <c r="I89">
        <v>40</v>
      </c>
      <c r="J89">
        <v>40</v>
      </c>
    </row>
    <row r="90" spans="1:10" x14ac:dyDescent="0.3">
      <c r="A90">
        <v>77</v>
      </c>
      <c r="B90" t="s">
        <v>225</v>
      </c>
      <c r="C90" s="1" t="s">
        <v>226</v>
      </c>
      <c r="E90" t="s">
        <v>227</v>
      </c>
      <c r="G90">
        <v>180</v>
      </c>
      <c r="H90">
        <v>100</v>
      </c>
      <c r="I90">
        <v>60</v>
      </c>
      <c r="J90">
        <v>20</v>
      </c>
    </row>
    <row r="91" spans="1:10" x14ac:dyDescent="0.3">
      <c r="A91">
        <v>77</v>
      </c>
      <c r="B91" t="s">
        <v>211</v>
      </c>
      <c r="C91" s="1" t="s">
        <v>212</v>
      </c>
      <c r="D91" t="s">
        <v>147</v>
      </c>
      <c r="E91" t="s">
        <v>213</v>
      </c>
      <c r="G91">
        <v>180</v>
      </c>
      <c r="H91">
        <v>100</v>
      </c>
      <c r="I91">
        <v>40</v>
      </c>
      <c r="J91">
        <v>40</v>
      </c>
    </row>
    <row r="92" spans="1:10" x14ac:dyDescent="0.3">
      <c r="A92">
        <v>77</v>
      </c>
      <c r="B92" t="s">
        <v>479</v>
      </c>
      <c r="C92" s="1" t="s">
        <v>480</v>
      </c>
      <c r="D92" t="s">
        <v>81</v>
      </c>
      <c r="E92" t="s">
        <v>481</v>
      </c>
      <c r="G92">
        <v>180</v>
      </c>
      <c r="H92">
        <v>100</v>
      </c>
      <c r="I92">
        <v>40</v>
      </c>
      <c r="J92">
        <v>40</v>
      </c>
    </row>
    <row r="93" spans="1:10" x14ac:dyDescent="0.3">
      <c r="A93">
        <v>92</v>
      </c>
      <c r="B93" t="s">
        <v>351</v>
      </c>
      <c r="C93" s="1" t="s">
        <v>352</v>
      </c>
      <c r="D93" t="s">
        <v>178</v>
      </c>
      <c r="E93" t="s">
        <v>353</v>
      </c>
      <c r="G93">
        <v>179</v>
      </c>
      <c r="H93">
        <v>79</v>
      </c>
      <c r="I93">
        <v>60</v>
      </c>
      <c r="J93">
        <v>40</v>
      </c>
    </row>
    <row r="94" spans="1:10" x14ac:dyDescent="0.3">
      <c r="A94">
        <v>93</v>
      </c>
      <c r="B94" t="s">
        <v>510</v>
      </c>
      <c r="C94" s="1" t="s">
        <v>511</v>
      </c>
      <c r="D94" t="s">
        <v>425</v>
      </c>
      <c r="E94" t="s">
        <v>512</v>
      </c>
      <c r="G94">
        <v>177</v>
      </c>
      <c r="H94">
        <v>77</v>
      </c>
      <c r="I94">
        <v>60</v>
      </c>
      <c r="J94">
        <v>40</v>
      </c>
    </row>
    <row r="95" spans="1:10" x14ac:dyDescent="0.3">
      <c r="A95">
        <v>94</v>
      </c>
      <c r="B95" t="s">
        <v>313</v>
      </c>
      <c r="C95" s="1" t="s">
        <v>314</v>
      </c>
      <c r="D95" t="s">
        <v>315</v>
      </c>
      <c r="E95" t="s">
        <v>316</v>
      </c>
      <c r="G95">
        <v>175</v>
      </c>
      <c r="H95">
        <v>75</v>
      </c>
      <c r="I95">
        <v>60</v>
      </c>
      <c r="J95">
        <v>40</v>
      </c>
    </row>
    <row r="96" spans="1:10" x14ac:dyDescent="0.3">
      <c r="A96">
        <v>95</v>
      </c>
      <c r="B96" t="s">
        <v>310</v>
      </c>
      <c r="C96" s="1" t="s">
        <v>311</v>
      </c>
      <c r="D96" t="s">
        <v>89</v>
      </c>
      <c r="E96" t="s">
        <v>312</v>
      </c>
      <c r="G96">
        <v>171</v>
      </c>
      <c r="H96">
        <v>51</v>
      </c>
      <c r="I96">
        <v>100</v>
      </c>
      <c r="J96">
        <v>20</v>
      </c>
    </row>
    <row r="97" spans="1:10" x14ac:dyDescent="0.3">
      <c r="A97">
        <v>95</v>
      </c>
      <c r="B97" t="s">
        <v>447</v>
      </c>
      <c r="C97" s="1" t="s">
        <v>448</v>
      </c>
      <c r="D97" t="s">
        <v>81</v>
      </c>
      <c r="E97" t="s">
        <v>449</v>
      </c>
      <c r="G97">
        <v>171</v>
      </c>
      <c r="H97">
        <v>51</v>
      </c>
      <c r="I97">
        <v>80</v>
      </c>
      <c r="J97">
        <v>40</v>
      </c>
    </row>
    <row r="98" spans="1:10" x14ac:dyDescent="0.3">
      <c r="A98">
        <v>97</v>
      </c>
      <c r="B98" t="s">
        <v>433</v>
      </c>
      <c r="C98" s="1" t="s">
        <v>434</v>
      </c>
      <c r="D98" t="s">
        <v>81</v>
      </c>
      <c r="E98" t="s">
        <v>435</v>
      </c>
      <c r="G98">
        <v>170</v>
      </c>
      <c r="H98">
        <v>100</v>
      </c>
      <c r="I98">
        <v>40</v>
      </c>
      <c r="J98">
        <v>30</v>
      </c>
    </row>
    <row r="99" spans="1:10" x14ac:dyDescent="0.3">
      <c r="A99">
        <v>98</v>
      </c>
      <c r="B99" t="s">
        <v>296</v>
      </c>
      <c r="C99" s="1" t="s">
        <v>297</v>
      </c>
      <c r="D99" t="s">
        <v>178</v>
      </c>
      <c r="E99" t="s">
        <v>298</v>
      </c>
      <c r="G99">
        <v>169</v>
      </c>
      <c r="H99">
        <v>79</v>
      </c>
      <c r="I99">
        <v>60</v>
      </c>
      <c r="J99">
        <v>30</v>
      </c>
    </row>
    <row r="100" spans="1:10" x14ac:dyDescent="0.3">
      <c r="A100">
        <v>99</v>
      </c>
      <c r="B100" t="s">
        <v>436</v>
      </c>
      <c r="C100" s="1" t="s">
        <v>437</v>
      </c>
      <c r="D100" t="s">
        <v>438</v>
      </c>
      <c r="E100" t="s">
        <v>439</v>
      </c>
      <c r="G100">
        <v>168</v>
      </c>
      <c r="H100">
        <v>88</v>
      </c>
      <c r="I100">
        <v>60</v>
      </c>
      <c r="J100">
        <v>20</v>
      </c>
    </row>
    <row r="101" spans="1:10" x14ac:dyDescent="0.3">
      <c r="A101">
        <v>100</v>
      </c>
      <c r="B101" t="s">
        <v>113</v>
      </c>
      <c r="C101" s="1" t="s">
        <v>114</v>
      </c>
      <c r="D101" t="s">
        <v>60</v>
      </c>
      <c r="E101" t="s">
        <v>115</v>
      </c>
      <c r="G101">
        <v>164</v>
      </c>
      <c r="H101">
        <v>84</v>
      </c>
      <c r="I101">
        <v>40</v>
      </c>
      <c r="J101">
        <v>40</v>
      </c>
    </row>
    <row r="102" spans="1:10" x14ac:dyDescent="0.3">
      <c r="A102">
        <v>100</v>
      </c>
      <c r="B102" t="s">
        <v>427</v>
      </c>
      <c r="C102" s="1" t="s">
        <v>428</v>
      </c>
      <c r="D102" t="s">
        <v>254</v>
      </c>
      <c r="E102" t="s">
        <v>429</v>
      </c>
      <c r="G102">
        <v>164</v>
      </c>
      <c r="H102">
        <v>84</v>
      </c>
      <c r="I102">
        <v>40</v>
      </c>
      <c r="J102">
        <v>40</v>
      </c>
    </row>
    <row r="103" spans="1:10" x14ac:dyDescent="0.3">
      <c r="A103">
        <v>102</v>
      </c>
      <c r="B103" t="s">
        <v>507</v>
      </c>
      <c r="C103" s="1" t="s">
        <v>508</v>
      </c>
      <c r="D103" t="s">
        <v>16</v>
      </c>
      <c r="E103" t="s">
        <v>509</v>
      </c>
      <c r="G103">
        <v>162</v>
      </c>
      <c r="H103">
        <v>82</v>
      </c>
      <c r="I103">
        <v>40</v>
      </c>
      <c r="J103">
        <v>40</v>
      </c>
    </row>
    <row r="104" spans="1:10" x14ac:dyDescent="0.3">
      <c r="A104">
        <v>103</v>
      </c>
      <c r="B104" t="s">
        <v>406</v>
      </c>
      <c r="C104" s="1" t="s">
        <v>407</v>
      </c>
      <c r="D104" t="s">
        <v>178</v>
      </c>
      <c r="E104" t="s">
        <v>408</v>
      </c>
      <c r="G104">
        <v>160</v>
      </c>
      <c r="H104">
        <v>100</v>
      </c>
      <c r="I104">
        <v>40</v>
      </c>
      <c r="J104">
        <v>20</v>
      </c>
    </row>
    <row r="105" spans="1:10" x14ac:dyDescent="0.3">
      <c r="A105">
        <v>103</v>
      </c>
      <c r="B105" t="s">
        <v>485</v>
      </c>
      <c r="C105" s="1" t="s">
        <v>486</v>
      </c>
      <c r="D105" t="s">
        <v>89</v>
      </c>
      <c r="E105" t="s">
        <v>487</v>
      </c>
      <c r="G105">
        <v>160</v>
      </c>
      <c r="H105">
        <v>100</v>
      </c>
      <c r="I105">
        <v>20</v>
      </c>
      <c r="J105">
        <v>40</v>
      </c>
    </row>
    <row r="106" spans="1:10" x14ac:dyDescent="0.3">
      <c r="A106">
        <v>103</v>
      </c>
      <c r="B106" t="s">
        <v>199</v>
      </c>
      <c r="C106" s="1" t="s">
        <v>200</v>
      </c>
      <c r="D106" t="s">
        <v>28</v>
      </c>
      <c r="E106" t="s">
        <v>201</v>
      </c>
      <c r="G106">
        <v>160</v>
      </c>
      <c r="H106">
        <v>100</v>
      </c>
      <c r="I106">
        <v>20</v>
      </c>
      <c r="J106">
        <v>40</v>
      </c>
    </row>
    <row r="107" spans="1:10" x14ac:dyDescent="0.3">
      <c r="A107">
        <v>103</v>
      </c>
      <c r="B107" t="s">
        <v>205</v>
      </c>
      <c r="C107" s="1" t="s">
        <v>206</v>
      </c>
      <c r="D107" t="s">
        <v>89</v>
      </c>
      <c r="E107" t="s">
        <v>207</v>
      </c>
      <c r="G107">
        <v>160</v>
      </c>
      <c r="H107">
        <v>100</v>
      </c>
      <c r="I107">
        <v>60</v>
      </c>
      <c r="J107">
        <v>0</v>
      </c>
    </row>
    <row r="108" spans="1:10" x14ac:dyDescent="0.3">
      <c r="A108">
        <v>103</v>
      </c>
      <c r="B108" t="s">
        <v>403</v>
      </c>
      <c r="C108" s="1" t="s">
        <v>404</v>
      </c>
      <c r="D108" t="s">
        <v>28</v>
      </c>
      <c r="E108" t="s">
        <v>405</v>
      </c>
      <c r="G108">
        <v>160</v>
      </c>
      <c r="H108">
        <v>100</v>
      </c>
      <c r="I108">
        <v>40</v>
      </c>
      <c r="J108">
        <v>20</v>
      </c>
    </row>
    <row r="109" spans="1:10" x14ac:dyDescent="0.3">
      <c r="A109">
        <v>103</v>
      </c>
      <c r="B109" t="s">
        <v>420</v>
      </c>
      <c r="C109" s="1" t="s">
        <v>421</v>
      </c>
      <c r="D109" t="s">
        <v>305</v>
      </c>
      <c r="E109" t="s">
        <v>422</v>
      </c>
      <c r="G109">
        <v>160</v>
      </c>
      <c r="H109">
        <v>100</v>
      </c>
      <c r="I109">
        <v>40</v>
      </c>
      <c r="J109">
        <v>20</v>
      </c>
    </row>
    <row r="110" spans="1:10" x14ac:dyDescent="0.3">
      <c r="A110">
        <v>103</v>
      </c>
      <c r="B110" t="s">
        <v>157</v>
      </c>
      <c r="C110" s="1" t="s">
        <v>158</v>
      </c>
      <c r="D110" t="s">
        <v>81</v>
      </c>
      <c r="E110" t="s">
        <v>159</v>
      </c>
      <c r="G110">
        <v>160</v>
      </c>
      <c r="H110">
        <v>100</v>
      </c>
      <c r="I110">
        <v>60</v>
      </c>
      <c r="J110">
        <v>0</v>
      </c>
    </row>
    <row r="111" spans="1:10" x14ac:dyDescent="0.3">
      <c r="A111">
        <v>103</v>
      </c>
      <c r="B111" t="s">
        <v>106</v>
      </c>
      <c r="C111" s="1" t="s">
        <v>107</v>
      </c>
      <c r="D111" t="s">
        <v>108</v>
      </c>
      <c r="E111" t="s">
        <v>109</v>
      </c>
      <c r="G111">
        <v>160</v>
      </c>
      <c r="H111">
        <v>100</v>
      </c>
      <c r="I111">
        <v>60</v>
      </c>
      <c r="J111">
        <v>0</v>
      </c>
    </row>
    <row r="112" spans="1:10" x14ac:dyDescent="0.3">
      <c r="A112">
        <v>103</v>
      </c>
      <c r="B112" t="s">
        <v>249</v>
      </c>
      <c r="C112" s="1" t="s">
        <v>250</v>
      </c>
      <c r="D112" t="s">
        <v>191</v>
      </c>
      <c r="E112" t="s">
        <v>251</v>
      </c>
      <c r="G112">
        <v>160</v>
      </c>
      <c r="H112">
        <v>100</v>
      </c>
      <c r="I112">
        <v>60</v>
      </c>
      <c r="J112">
        <v>0</v>
      </c>
    </row>
    <row r="113" spans="1:10" x14ac:dyDescent="0.3">
      <c r="A113">
        <v>103</v>
      </c>
      <c r="B113" t="s">
        <v>488</v>
      </c>
      <c r="C113" s="1" t="s">
        <v>489</v>
      </c>
      <c r="D113" t="s">
        <v>362</v>
      </c>
      <c r="E113" t="s">
        <v>490</v>
      </c>
      <c r="G113">
        <v>160</v>
      </c>
      <c r="H113">
        <v>100</v>
      </c>
      <c r="I113">
        <v>40</v>
      </c>
      <c r="J113">
        <v>20</v>
      </c>
    </row>
    <row r="114" spans="1:10" x14ac:dyDescent="0.3">
      <c r="A114">
        <v>103</v>
      </c>
      <c r="B114" t="s">
        <v>263</v>
      </c>
      <c r="C114" s="1" t="s">
        <v>264</v>
      </c>
      <c r="D114" t="s">
        <v>147</v>
      </c>
      <c r="E114" t="s">
        <v>265</v>
      </c>
      <c r="G114">
        <v>160</v>
      </c>
      <c r="H114">
        <v>100</v>
      </c>
      <c r="I114">
        <v>60</v>
      </c>
      <c r="J114">
        <v>0</v>
      </c>
    </row>
    <row r="115" spans="1:10" x14ac:dyDescent="0.3">
      <c r="A115">
        <v>114</v>
      </c>
      <c r="B115" t="s">
        <v>94</v>
      </c>
      <c r="C115" s="1" t="s">
        <v>95</v>
      </c>
      <c r="D115" t="s">
        <v>96</v>
      </c>
      <c r="E115" t="s">
        <v>97</v>
      </c>
      <c r="G115">
        <v>158</v>
      </c>
      <c r="H115">
        <v>78</v>
      </c>
      <c r="I115">
        <v>40</v>
      </c>
      <c r="J115">
        <v>40</v>
      </c>
    </row>
    <row r="116" spans="1:10" x14ac:dyDescent="0.3">
      <c r="A116">
        <v>115</v>
      </c>
      <c r="B116" t="s">
        <v>332</v>
      </c>
      <c r="C116" s="1" t="s">
        <v>333</v>
      </c>
      <c r="D116" t="s">
        <v>20</v>
      </c>
      <c r="E116" t="s">
        <v>334</v>
      </c>
      <c r="G116">
        <v>157</v>
      </c>
      <c r="H116">
        <v>77</v>
      </c>
      <c r="I116">
        <v>40</v>
      </c>
      <c r="J116">
        <v>40</v>
      </c>
    </row>
    <row r="117" spans="1:10" x14ac:dyDescent="0.3">
      <c r="A117">
        <v>116</v>
      </c>
      <c r="B117" t="s">
        <v>189</v>
      </c>
      <c r="C117" s="1" t="s">
        <v>190</v>
      </c>
      <c r="D117" t="s">
        <v>191</v>
      </c>
      <c r="E117" t="s">
        <v>192</v>
      </c>
      <c r="G117">
        <v>153</v>
      </c>
      <c r="H117">
        <v>93</v>
      </c>
      <c r="I117">
        <v>40</v>
      </c>
      <c r="J117">
        <v>20</v>
      </c>
    </row>
    <row r="118" spans="1:10" x14ac:dyDescent="0.3">
      <c r="A118">
        <v>117</v>
      </c>
      <c r="B118" t="s">
        <v>299</v>
      </c>
      <c r="C118" s="1" t="s">
        <v>300</v>
      </c>
      <c r="D118" t="s">
        <v>301</v>
      </c>
      <c r="E118" t="s">
        <v>302</v>
      </c>
      <c r="G118">
        <v>150</v>
      </c>
      <c r="H118">
        <v>100</v>
      </c>
      <c r="I118">
        <v>40</v>
      </c>
      <c r="J118">
        <v>10</v>
      </c>
    </row>
    <row r="119" spans="1:10" x14ac:dyDescent="0.3">
      <c r="A119">
        <v>117</v>
      </c>
      <c r="B119" t="s">
        <v>546</v>
      </c>
      <c r="C119" s="1" t="s">
        <v>547</v>
      </c>
      <c r="D119" t="s">
        <v>548</v>
      </c>
      <c r="E119" t="s">
        <v>549</v>
      </c>
      <c r="G119">
        <v>150</v>
      </c>
      <c r="H119">
        <v>100</v>
      </c>
      <c r="I119">
        <v>40</v>
      </c>
      <c r="J119">
        <v>10</v>
      </c>
    </row>
    <row r="120" spans="1:10" x14ac:dyDescent="0.3">
      <c r="A120">
        <v>117</v>
      </c>
      <c r="B120" t="s">
        <v>444</v>
      </c>
      <c r="C120" s="1" t="s">
        <v>445</v>
      </c>
      <c r="D120" t="s">
        <v>223</v>
      </c>
      <c r="E120" t="s">
        <v>446</v>
      </c>
      <c r="G120">
        <v>150</v>
      </c>
      <c r="H120">
        <v>100</v>
      </c>
      <c r="I120">
        <v>40</v>
      </c>
      <c r="J120">
        <v>10</v>
      </c>
    </row>
    <row r="121" spans="1:10" x14ac:dyDescent="0.3">
      <c r="A121">
        <v>117</v>
      </c>
      <c r="B121" t="s">
        <v>214</v>
      </c>
      <c r="C121" s="1" t="s">
        <v>215</v>
      </c>
      <c r="D121" t="s">
        <v>216</v>
      </c>
      <c r="E121" t="s">
        <v>217</v>
      </c>
      <c r="G121">
        <v>150</v>
      </c>
      <c r="H121">
        <v>100</v>
      </c>
      <c r="I121">
        <v>40</v>
      </c>
      <c r="J121">
        <v>10</v>
      </c>
    </row>
    <row r="122" spans="1:10" x14ac:dyDescent="0.3">
      <c r="A122">
        <v>117</v>
      </c>
      <c r="B122" t="s">
        <v>341</v>
      </c>
      <c r="C122" s="1" t="s">
        <v>342</v>
      </c>
      <c r="D122" t="s">
        <v>147</v>
      </c>
      <c r="E122" t="s">
        <v>343</v>
      </c>
      <c r="G122">
        <v>150</v>
      </c>
      <c r="H122">
        <v>100</v>
      </c>
      <c r="I122">
        <v>40</v>
      </c>
      <c r="J122">
        <v>10</v>
      </c>
    </row>
    <row r="123" spans="1:10" x14ac:dyDescent="0.3">
      <c r="A123">
        <v>117</v>
      </c>
      <c r="B123" t="s">
        <v>22</v>
      </c>
      <c r="C123" s="1" t="s">
        <v>23</v>
      </c>
      <c r="D123" t="s">
        <v>24</v>
      </c>
      <c r="E123" t="s">
        <v>25</v>
      </c>
      <c r="G123">
        <v>150</v>
      </c>
      <c r="H123">
        <v>100</v>
      </c>
      <c r="I123">
        <v>40</v>
      </c>
      <c r="J123">
        <v>10</v>
      </c>
    </row>
    <row r="124" spans="1:10" x14ac:dyDescent="0.3">
      <c r="A124">
        <v>117</v>
      </c>
      <c r="B124" t="s">
        <v>231</v>
      </c>
      <c r="C124" s="1" t="s">
        <v>232</v>
      </c>
      <c r="D124" t="s">
        <v>20</v>
      </c>
      <c r="E124" t="s">
        <v>233</v>
      </c>
      <c r="G124">
        <v>150</v>
      </c>
      <c r="H124">
        <v>100</v>
      </c>
      <c r="I124">
        <v>40</v>
      </c>
      <c r="J124">
        <v>10</v>
      </c>
    </row>
    <row r="125" spans="1:10" x14ac:dyDescent="0.3">
      <c r="A125">
        <v>124</v>
      </c>
      <c r="B125" t="s">
        <v>196</v>
      </c>
      <c r="C125" s="1" t="s">
        <v>197</v>
      </c>
      <c r="D125" t="s">
        <v>20</v>
      </c>
      <c r="E125" t="s">
        <v>198</v>
      </c>
      <c r="G125">
        <v>148</v>
      </c>
      <c r="H125">
        <v>78</v>
      </c>
      <c r="I125">
        <v>40</v>
      </c>
      <c r="J125">
        <v>30</v>
      </c>
    </row>
    <row r="126" spans="1:10" x14ac:dyDescent="0.3">
      <c r="A126">
        <v>125</v>
      </c>
      <c r="B126" t="s">
        <v>388</v>
      </c>
      <c r="C126" s="1" t="s">
        <v>389</v>
      </c>
      <c r="D126" t="s">
        <v>191</v>
      </c>
      <c r="E126" t="s">
        <v>390</v>
      </c>
      <c r="G126">
        <v>144</v>
      </c>
      <c r="H126">
        <v>84</v>
      </c>
      <c r="I126">
        <v>40</v>
      </c>
      <c r="J126">
        <v>20</v>
      </c>
    </row>
    <row r="127" spans="1:10" x14ac:dyDescent="0.3">
      <c r="A127">
        <v>125</v>
      </c>
      <c r="B127" t="s">
        <v>532</v>
      </c>
      <c r="C127" s="1" t="s">
        <v>533</v>
      </c>
      <c r="D127" t="s">
        <v>534</v>
      </c>
      <c r="E127" t="s">
        <v>535</v>
      </c>
      <c r="G127">
        <v>144</v>
      </c>
      <c r="H127">
        <v>84</v>
      </c>
      <c r="I127">
        <v>40</v>
      </c>
      <c r="J127">
        <v>20</v>
      </c>
    </row>
    <row r="128" spans="1:10" x14ac:dyDescent="0.3">
      <c r="A128">
        <v>125</v>
      </c>
      <c r="B128" t="s">
        <v>450</v>
      </c>
      <c r="C128" s="1" t="s">
        <v>451</v>
      </c>
      <c r="D128" t="s">
        <v>305</v>
      </c>
      <c r="E128" t="s">
        <v>452</v>
      </c>
      <c r="G128">
        <v>144</v>
      </c>
      <c r="H128">
        <v>84</v>
      </c>
      <c r="I128">
        <v>20</v>
      </c>
      <c r="J128">
        <v>40</v>
      </c>
    </row>
    <row r="129" spans="1:10" x14ac:dyDescent="0.3">
      <c r="A129">
        <v>128</v>
      </c>
      <c r="B129" t="s">
        <v>409</v>
      </c>
      <c r="C129" s="1" t="s">
        <v>410</v>
      </c>
      <c r="D129" t="s">
        <v>16</v>
      </c>
      <c r="E129" t="s">
        <v>411</v>
      </c>
      <c r="G129">
        <v>143</v>
      </c>
      <c r="H129">
        <v>83</v>
      </c>
      <c r="I129">
        <v>40</v>
      </c>
      <c r="J129">
        <v>20</v>
      </c>
    </row>
    <row r="130" spans="1:10" x14ac:dyDescent="0.3">
      <c r="A130">
        <v>129</v>
      </c>
      <c r="B130" t="s">
        <v>416</v>
      </c>
      <c r="C130" s="1" t="s">
        <v>417</v>
      </c>
      <c r="D130" t="s">
        <v>418</v>
      </c>
      <c r="E130" t="s">
        <v>419</v>
      </c>
      <c r="G130">
        <v>140</v>
      </c>
      <c r="H130">
        <v>100</v>
      </c>
      <c r="I130">
        <v>40</v>
      </c>
      <c r="J130">
        <v>0</v>
      </c>
    </row>
    <row r="131" spans="1:10" x14ac:dyDescent="0.3">
      <c r="A131">
        <v>129</v>
      </c>
      <c r="B131" t="s">
        <v>563</v>
      </c>
      <c r="C131" s="1" t="s">
        <v>564</v>
      </c>
      <c r="D131" t="s">
        <v>216</v>
      </c>
      <c r="E131" t="s">
        <v>565</v>
      </c>
      <c r="G131">
        <v>140</v>
      </c>
      <c r="H131">
        <v>100</v>
      </c>
      <c r="I131">
        <v>40</v>
      </c>
      <c r="J131">
        <v>0</v>
      </c>
    </row>
    <row r="132" spans="1:10" x14ac:dyDescent="0.3">
      <c r="A132">
        <v>129</v>
      </c>
      <c r="B132" t="s">
        <v>557</v>
      </c>
      <c r="C132" s="1" t="s">
        <v>558</v>
      </c>
      <c r="D132" t="s">
        <v>216</v>
      </c>
      <c r="E132" t="s">
        <v>559</v>
      </c>
      <c r="G132">
        <v>140</v>
      </c>
      <c r="H132">
        <v>100</v>
      </c>
      <c r="I132">
        <v>40</v>
      </c>
      <c r="J132">
        <v>0</v>
      </c>
    </row>
    <row r="133" spans="1:10" x14ac:dyDescent="0.3">
      <c r="A133">
        <v>129</v>
      </c>
      <c r="B133" t="s">
        <v>131</v>
      </c>
      <c r="C133" s="1" t="s">
        <v>132</v>
      </c>
      <c r="D133" t="s">
        <v>133</v>
      </c>
      <c r="E133" t="s">
        <v>134</v>
      </c>
      <c r="G133">
        <v>140</v>
      </c>
      <c r="H133">
        <v>100</v>
      </c>
      <c r="I133">
        <v>40</v>
      </c>
      <c r="J133">
        <v>0</v>
      </c>
    </row>
    <row r="134" spans="1:10" x14ac:dyDescent="0.3">
      <c r="A134">
        <v>129</v>
      </c>
      <c r="B134" t="s">
        <v>456</v>
      </c>
      <c r="C134" s="1" t="s">
        <v>457</v>
      </c>
      <c r="D134" t="s">
        <v>178</v>
      </c>
      <c r="E134" t="s">
        <v>458</v>
      </c>
      <c r="G134">
        <v>140</v>
      </c>
      <c r="H134">
        <v>100</v>
      </c>
      <c r="I134">
        <v>40</v>
      </c>
      <c r="J134">
        <v>0</v>
      </c>
    </row>
    <row r="135" spans="1:10" x14ac:dyDescent="0.3">
      <c r="A135">
        <v>129</v>
      </c>
      <c r="B135" t="s">
        <v>317</v>
      </c>
      <c r="C135" s="1" t="s">
        <v>318</v>
      </c>
      <c r="D135" t="s">
        <v>178</v>
      </c>
      <c r="E135" t="s">
        <v>319</v>
      </c>
      <c r="G135">
        <v>140</v>
      </c>
      <c r="H135">
        <v>100</v>
      </c>
      <c r="I135">
        <v>40</v>
      </c>
      <c r="J135">
        <v>0</v>
      </c>
    </row>
    <row r="136" spans="1:10" x14ac:dyDescent="0.3">
      <c r="A136">
        <v>129</v>
      </c>
      <c r="B136" t="s">
        <v>423</v>
      </c>
      <c r="C136" s="1" t="s">
        <v>424</v>
      </c>
      <c r="D136" t="s">
        <v>425</v>
      </c>
      <c r="E136" t="s">
        <v>426</v>
      </c>
      <c r="G136">
        <v>140</v>
      </c>
      <c r="H136">
        <v>100</v>
      </c>
      <c r="I136">
        <v>0</v>
      </c>
      <c r="J136">
        <v>40</v>
      </c>
    </row>
    <row r="137" spans="1:10" x14ac:dyDescent="0.3">
      <c r="A137">
        <v>136</v>
      </c>
      <c r="B137" t="s">
        <v>391</v>
      </c>
      <c r="C137" s="1" t="s">
        <v>392</v>
      </c>
      <c r="D137" t="s">
        <v>178</v>
      </c>
      <c r="E137" t="s">
        <v>393</v>
      </c>
      <c r="G137">
        <v>133</v>
      </c>
      <c r="H137">
        <v>83</v>
      </c>
      <c r="I137">
        <v>40</v>
      </c>
      <c r="J137">
        <v>10</v>
      </c>
    </row>
    <row r="138" spans="1:10" x14ac:dyDescent="0.3">
      <c r="A138">
        <v>137</v>
      </c>
      <c r="B138" t="s">
        <v>491</v>
      </c>
      <c r="C138" s="1" t="s">
        <v>492</v>
      </c>
      <c r="D138" t="s">
        <v>178</v>
      </c>
      <c r="E138" t="s">
        <v>493</v>
      </c>
      <c r="G138">
        <v>130</v>
      </c>
      <c r="H138">
        <v>100</v>
      </c>
      <c r="I138">
        <v>20</v>
      </c>
      <c r="J138">
        <v>10</v>
      </c>
    </row>
    <row r="139" spans="1:10" x14ac:dyDescent="0.3">
      <c r="A139">
        <v>137</v>
      </c>
      <c r="B139" t="s">
        <v>523</v>
      </c>
      <c r="C139" s="1" t="s">
        <v>524</v>
      </c>
      <c r="D139" t="s">
        <v>89</v>
      </c>
      <c r="E139" t="s">
        <v>525</v>
      </c>
      <c r="G139">
        <v>130</v>
      </c>
      <c r="H139">
        <v>100</v>
      </c>
      <c r="I139">
        <v>20</v>
      </c>
      <c r="J139">
        <v>10</v>
      </c>
    </row>
    <row r="140" spans="1:10" x14ac:dyDescent="0.3">
      <c r="A140">
        <v>139</v>
      </c>
      <c r="B140" t="s">
        <v>338</v>
      </c>
      <c r="C140" s="1" t="s">
        <v>339</v>
      </c>
      <c r="D140" t="s">
        <v>48</v>
      </c>
      <c r="E140" t="s">
        <v>340</v>
      </c>
      <c r="G140">
        <v>128</v>
      </c>
      <c r="H140">
        <v>38</v>
      </c>
      <c r="I140">
        <v>40</v>
      </c>
      <c r="J140">
        <v>50</v>
      </c>
    </row>
    <row r="141" spans="1:10" x14ac:dyDescent="0.3">
      <c r="A141">
        <v>140</v>
      </c>
      <c r="B141" t="s">
        <v>500</v>
      </c>
      <c r="C141" s="1" t="s">
        <v>501</v>
      </c>
      <c r="D141" t="s">
        <v>502</v>
      </c>
      <c r="E141" t="s">
        <v>503</v>
      </c>
      <c r="G141">
        <v>123</v>
      </c>
      <c r="H141">
        <v>83</v>
      </c>
      <c r="I141">
        <v>20</v>
      </c>
      <c r="J141">
        <v>20</v>
      </c>
    </row>
    <row r="142" spans="1:10" x14ac:dyDescent="0.3">
      <c r="A142">
        <v>140</v>
      </c>
      <c r="B142" t="s">
        <v>463</v>
      </c>
      <c r="C142" s="1" t="s">
        <v>464</v>
      </c>
      <c r="D142" t="s">
        <v>191</v>
      </c>
      <c r="E142" t="s">
        <v>465</v>
      </c>
      <c r="G142">
        <v>123</v>
      </c>
      <c r="H142">
        <v>83</v>
      </c>
      <c r="I142">
        <v>40</v>
      </c>
      <c r="J142">
        <v>0</v>
      </c>
    </row>
    <row r="143" spans="1:10" x14ac:dyDescent="0.3">
      <c r="A143">
        <v>142</v>
      </c>
      <c r="B143" t="s">
        <v>440</v>
      </c>
      <c r="C143" s="1" t="s">
        <v>441</v>
      </c>
      <c r="D143" t="s">
        <v>442</v>
      </c>
      <c r="E143" t="s">
        <v>443</v>
      </c>
      <c r="G143">
        <v>120</v>
      </c>
      <c r="H143">
        <v>100</v>
      </c>
      <c r="I143">
        <v>20</v>
      </c>
      <c r="J143">
        <v>0</v>
      </c>
    </row>
    <row r="144" spans="1:10" x14ac:dyDescent="0.3">
      <c r="A144">
        <v>142</v>
      </c>
      <c r="B144" t="s">
        <v>560</v>
      </c>
      <c r="C144" s="1" t="s">
        <v>561</v>
      </c>
      <c r="D144" t="s">
        <v>216</v>
      </c>
      <c r="E144" t="s">
        <v>562</v>
      </c>
      <c r="G144">
        <v>120</v>
      </c>
      <c r="H144">
        <v>100</v>
      </c>
      <c r="I144">
        <v>20</v>
      </c>
      <c r="J144">
        <v>0</v>
      </c>
    </row>
    <row r="145" spans="1:10" x14ac:dyDescent="0.3">
      <c r="A145">
        <v>142</v>
      </c>
      <c r="B145" t="s">
        <v>237</v>
      </c>
      <c r="C145" s="1" t="s">
        <v>238</v>
      </c>
      <c r="D145" t="s">
        <v>216</v>
      </c>
      <c r="E145" t="s">
        <v>239</v>
      </c>
      <c r="G145">
        <v>120</v>
      </c>
      <c r="H145">
        <v>100</v>
      </c>
      <c r="I145">
        <v>20</v>
      </c>
      <c r="J145">
        <v>0</v>
      </c>
    </row>
    <row r="146" spans="1:10" x14ac:dyDescent="0.3">
      <c r="A146">
        <v>142</v>
      </c>
      <c r="B146" t="s">
        <v>516</v>
      </c>
      <c r="C146" s="1" t="s">
        <v>517</v>
      </c>
      <c r="D146" t="s">
        <v>442</v>
      </c>
      <c r="E146" t="s">
        <v>518</v>
      </c>
      <c r="G146">
        <v>120</v>
      </c>
      <c r="H146">
        <v>100</v>
      </c>
      <c r="I146">
        <v>20</v>
      </c>
      <c r="J146">
        <v>0</v>
      </c>
    </row>
    <row r="147" spans="1:10" x14ac:dyDescent="0.3">
      <c r="A147">
        <v>142</v>
      </c>
      <c r="B147" t="s">
        <v>575</v>
      </c>
      <c r="C147" s="1" t="s">
        <v>576</v>
      </c>
      <c r="D147" t="s">
        <v>577</v>
      </c>
      <c r="E147" t="s">
        <v>578</v>
      </c>
      <c r="G147">
        <v>120</v>
      </c>
      <c r="H147">
        <v>100</v>
      </c>
      <c r="I147">
        <v>20</v>
      </c>
      <c r="J147">
        <v>0</v>
      </c>
    </row>
    <row r="148" spans="1:10" x14ac:dyDescent="0.3">
      <c r="A148">
        <v>147</v>
      </c>
      <c r="B148" t="s">
        <v>459</v>
      </c>
      <c r="C148" s="1" t="s">
        <v>460</v>
      </c>
      <c r="D148" t="s">
        <v>461</v>
      </c>
      <c r="E148" t="s">
        <v>462</v>
      </c>
      <c r="G148">
        <v>118</v>
      </c>
      <c r="H148">
        <v>78</v>
      </c>
      <c r="I148">
        <v>20</v>
      </c>
      <c r="J148">
        <v>20</v>
      </c>
    </row>
    <row r="149" spans="1:10" x14ac:dyDescent="0.3">
      <c r="A149">
        <v>148</v>
      </c>
      <c r="B149" t="s">
        <v>476</v>
      </c>
      <c r="C149" s="1" t="s">
        <v>477</v>
      </c>
      <c r="D149" t="s">
        <v>81</v>
      </c>
      <c r="E149" t="s">
        <v>478</v>
      </c>
      <c r="G149">
        <v>117</v>
      </c>
      <c r="H149">
        <v>77</v>
      </c>
      <c r="I149">
        <v>40</v>
      </c>
      <c r="J149">
        <v>0</v>
      </c>
    </row>
    <row r="150" spans="1:10" x14ac:dyDescent="0.3">
      <c r="A150">
        <v>149</v>
      </c>
      <c r="B150" t="s">
        <v>323</v>
      </c>
      <c r="C150" s="1" t="s">
        <v>324</v>
      </c>
      <c r="D150" t="s">
        <v>178</v>
      </c>
      <c r="E150" t="s">
        <v>325</v>
      </c>
      <c r="G150">
        <v>114</v>
      </c>
      <c r="H150">
        <v>84</v>
      </c>
      <c r="I150">
        <v>20</v>
      </c>
      <c r="J150">
        <v>10</v>
      </c>
    </row>
    <row r="151" spans="1:10" x14ac:dyDescent="0.3">
      <c r="A151">
        <v>150</v>
      </c>
      <c r="B151" t="s">
        <v>303</v>
      </c>
      <c r="C151" s="1" t="s">
        <v>304</v>
      </c>
      <c r="D151" t="s">
        <v>305</v>
      </c>
      <c r="E151" t="s">
        <v>306</v>
      </c>
      <c r="G151">
        <v>113</v>
      </c>
      <c r="H151">
        <v>83</v>
      </c>
      <c r="I151">
        <v>20</v>
      </c>
      <c r="J151">
        <v>10</v>
      </c>
    </row>
    <row r="152" spans="1:10" x14ac:dyDescent="0.3">
      <c r="A152">
        <v>151</v>
      </c>
      <c r="B152" t="s">
        <v>354</v>
      </c>
      <c r="C152" s="1" t="s">
        <v>355</v>
      </c>
      <c r="D152" t="s">
        <v>223</v>
      </c>
      <c r="E152" t="s">
        <v>356</v>
      </c>
      <c r="G152">
        <v>105</v>
      </c>
      <c r="H152">
        <v>45</v>
      </c>
      <c r="I152">
        <v>20</v>
      </c>
      <c r="J152">
        <v>40</v>
      </c>
    </row>
    <row r="153" spans="1:10" x14ac:dyDescent="0.3">
      <c r="A153">
        <v>152</v>
      </c>
      <c r="B153" t="s">
        <v>287</v>
      </c>
      <c r="C153" s="1" t="s">
        <v>288</v>
      </c>
      <c r="D153" t="s">
        <v>178</v>
      </c>
      <c r="E153" t="s">
        <v>289</v>
      </c>
      <c r="G153">
        <v>104</v>
      </c>
      <c r="H153">
        <v>84</v>
      </c>
      <c r="I153">
        <v>20</v>
      </c>
      <c r="J153">
        <v>0</v>
      </c>
    </row>
    <row r="154" spans="1:10" x14ac:dyDescent="0.3">
      <c r="A154">
        <v>152</v>
      </c>
      <c r="B154" t="s">
        <v>494</v>
      </c>
      <c r="C154" s="1" t="s">
        <v>495</v>
      </c>
      <c r="D154" t="s">
        <v>178</v>
      </c>
      <c r="E154" t="s">
        <v>496</v>
      </c>
      <c r="G154">
        <v>104</v>
      </c>
      <c r="H154">
        <v>84</v>
      </c>
      <c r="I154">
        <v>20</v>
      </c>
      <c r="J154">
        <v>0</v>
      </c>
    </row>
    <row r="155" spans="1:10" x14ac:dyDescent="0.3">
      <c r="A155">
        <v>152</v>
      </c>
      <c r="B155" t="s">
        <v>394</v>
      </c>
      <c r="C155" s="1" t="s">
        <v>395</v>
      </c>
      <c r="D155" t="s">
        <v>178</v>
      </c>
      <c r="E155" t="s">
        <v>396</v>
      </c>
      <c r="G155">
        <v>104</v>
      </c>
      <c r="H155">
        <v>84</v>
      </c>
      <c r="I155">
        <v>20</v>
      </c>
      <c r="J155">
        <v>0</v>
      </c>
    </row>
    <row r="156" spans="1:10" x14ac:dyDescent="0.3">
      <c r="A156">
        <v>152</v>
      </c>
      <c r="B156" t="s">
        <v>266</v>
      </c>
      <c r="C156" s="1" t="s">
        <v>267</v>
      </c>
      <c r="D156" t="s">
        <v>178</v>
      </c>
      <c r="E156" t="s">
        <v>268</v>
      </c>
      <c r="G156">
        <v>104</v>
      </c>
      <c r="H156">
        <v>84</v>
      </c>
      <c r="I156">
        <v>20</v>
      </c>
      <c r="J156">
        <v>0</v>
      </c>
    </row>
    <row r="157" spans="1:10" x14ac:dyDescent="0.3">
      <c r="A157">
        <v>156</v>
      </c>
      <c r="B157" t="s">
        <v>566</v>
      </c>
      <c r="C157" s="1" t="s">
        <v>567</v>
      </c>
      <c r="D157" t="s">
        <v>568</v>
      </c>
      <c r="E157" t="s">
        <v>569</v>
      </c>
      <c r="G157">
        <v>100</v>
      </c>
      <c r="H157">
        <v>100</v>
      </c>
      <c r="I157">
        <v>0</v>
      </c>
      <c r="J157">
        <v>0</v>
      </c>
    </row>
    <row r="158" spans="1:10" x14ac:dyDescent="0.3">
      <c r="A158">
        <v>156</v>
      </c>
      <c r="B158" t="s">
        <v>526</v>
      </c>
      <c r="C158" s="1" t="s">
        <v>527</v>
      </c>
      <c r="D158" t="s">
        <v>81</v>
      </c>
      <c r="E158" t="s">
        <v>528</v>
      </c>
      <c r="G158">
        <v>100</v>
      </c>
      <c r="H158">
        <v>100</v>
      </c>
      <c r="I158">
        <v>0</v>
      </c>
      <c r="J158">
        <v>0</v>
      </c>
    </row>
    <row r="159" spans="1:10" x14ac:dyDescent="0.3">
      <c r="A159">
        <v>156</v>
      </c>
      <c r="B159" t="s">
        <v>519</v>
      </c>
      <c r="C159" s="1" t="s">
        <v>520</v>
      </c>
      <c r="D159" t="s">
        <v>521</v>
      </c>
      <c r="E159" t="s">
        <v>522</v>
      </c>
      <c r="G159">
        <v>100</v>
      </c>
      <c r="H159">
        <v>100</v>
      </c>
      <c r="I159">
        <v>0</v>
      </c>
      <c r="J159">
        <v>0</v>
      </c>
    </row>
    <row r="160" spans="1:10" x14ac:dyDescent="0.3">
      <c r="A160">
        <v>159</v>
      </c>
      <c r="B160" t="s">
        <v>274</v>
      </c>
      <c r="C160" s="1" t="s">
        <v>275</v>
      </c>
      <c r="D160" t="s">
        <v>60</v>
      </c>
      <c r="E160" t="s">
        <v>276</v>
      </c>
      <c r="G160">
        <v>98</v>
      </c>
      <c r="H160">
        <v>78</v>
      </c>
      <c r="I160">
        <v>20</v>
      </c>
      <c r="J160">
        <v>0</v>
      </c>
    </row>
    <row r="161" spans="1:10" x14ac:dyDescent="0.3">
      <c r="A161">
        <v>160</v>
      </c>
      <c r="B161" t="s">
        <v>186</v>
      </c>
      <c r="C161" s="1" t="s">
        <v>187</v>
      </c>
      <c r="D161" t="s">
        <v>81</v>
      </c>
      <c r="E161" t="s">
        <v>188</v>
      </c>
      <c r="G161">
        <v>97</v>
      </c>
      <c r="H161">
        <v>77</v>
      </c>
      <c r="I161">
        <v>20</v>
      </c>
      <c r="J161">
        <v>0</v>
      </c>
    </row>
    <row r="162" spans="1:10" x14ac:dyDescent="0.3">
      <c r="A162">
        <v>161</v>
      </c>
      <c r="B162" t="s">
        <v>377</v>
      </c>
      <c r="C162" s="1" t="s">
        <v>378</v>
      </c>
      <c r="D162" t="s">
        <v>379</v>
      </c>
      <c r="E162" t="s">
        <v>380</v>
      </c>
      <c r="G162">
        <v>95</v>
      </c>
      <c r="H162">
        <v>45</v>
      </c>
      <c r="I162">
        <v>40</v>
      </c>
      <c r="J162">
        <v>10</v>
      </c>
    </row>
    <row r="163" spans="1:10" x14ac:dyDescent="0.3">
      <c r="A163">
        <v>162</v>
      </c>
      <c r="B163" t="s">
        <v>504</v>
      </c>
      <c r="C163" s="1" t="s">
        <v>505</v>
      </c>
      <c r="D163" t="s">
        <v>178</v>
      </c>
      <c r="E163" t="s">
        <v>506</v>
      </c>
      <c r="G163">
        <v>88</v>
      </c>
      <c r="H163">
        <v>48</v>
      </c>
      <c r="I163">
        <v>40</v>
      </c>
      <c r="J163">
        <v>0</v>
      </c>
    </row>
    <row r="164" spans="1:10" x14ac:dyDescent="0.3">
      <c r="A164">
        <v>163</v>
      </c>
      <c r="B164" t="s">
        <v>240</v>
      </c>
      <c r="C164" s="1" t="s">
        <v>241</v>
      </c>
      <c r="D164" t="s">
        <v>108</v>
      </c>
      <c r="E164" t="s">
        <v>242</v>
      </c>
      <c r="G164">
        <v>80</v>
      </c>
      <c r="H164">
        <v>40</v>
      </c>
      <c r="I164">
        <v>40</v>
      </c>
      <c r="J164">
        <v>0</v>
      </c>
    </row>
    <row r="165" spans="1:10" x14ac:dyDescent="0.3">
      <c r="A165">
        <v>164</v>
      </c>
      <c r="B165" t="s">
        <v>469</v>
      </c>
      <c r="C165" s="1" t="s">
        <v>470</v>
      </c>
      <c r="D165" t="s">
        <v>471</v>
      </c>
      <c r="E165" t="s">
        <v>472</v>
      </c>
      <c r="G165">
        <v>61</v>
      </c>
      <c r="H165">
        <v>21</v>
      </c>
      <c r="I165">
        <v>20</v>
      </c>
      <c r="J165">
        <v>20</v>
      </c>
    </row>
    <row r="166" spans="1:10" x14ac:dyDescent="0.3">
      <c r="A166">
        <v>165</v>
      </c>
      <c r="B166" t="s">
        <v>381</v>
      </c>
      <c r="C166" s="1" t="s">
        <v>382</v>
      </c>
      <c r="D166" t="s">
        <v>383</v>
      </c>
      <c r="E166" t="s">
        <v>384</v>
      </c>
      <c r="G166">
        <v>53</v>
      </c>
      <c r="H166">
        <v>53</v>
      </c>
      <c r="I166">
        <v>0</v>
      </c>
      <c r="J166">
        <v>0</v>
      </c>
    </row>
    <row r="167" spans="1:10" x14ac:dyDescent="0.3">
      <c r="A167">
        <v>165</v>
      </c>
      <c r="B167" t="s">
        <v>550</v>
      </c>
      <c r="C167" s="1" t="s">
        <v>551</v>
      </c>
      <c r="D167" t="s">
        <v>223</v>
      </c>
      <c r="E167" t="s">
        <v>552</v>
      </c>
      <c r="G167">
        <v>53</v>
      </c>
      <c r="H167">
        <v>53</v>
      </c>
      <c r="I167">
        <v>0</v>
      </c>
      <c r="J167">
        <v>0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  <hyperlink ref="C101" r:id="rId100" xr:uid="{00000000-0004-0000-0200-000063000000}"/>
    <hyperlink ref="C102" r:id="rId101" xr:uid="{00000000-0004-0000-0200-000064000000}"/>
    <hyperlink ref="C103" r:id="rId102" xr:uid="{00000000-0004-0000-0200-000065000000}"/>
    <hyperlink ref="C104" r:id="rId103" xr:uid="{00000000-0004-0000-0200-000066000000}"/>
    <hyperlink ref="C105" r:id="rId104" xr:uid="{00000000-0004-0000-0200-000067000000}"/>
    <hyperlink ref="C106" r:id="rId105" xr:uid="{00000000-0004-0000-0200-000068000000}"/>
    <hyperlink ref="C107" r:id="rId106" xr:uid="{00000000-0004-0000-0200-000069000000}"/>
    <hyperlink ref="C108" r:id="rId107" xr:uid="{00000000-0004-0000-0200-00006A000000}"/>
    <hyperlink ref="C109" r:id="rId108" xr:uid="{00000000-0004-0000-0200-00006B000000}"/>
    <hyperlink ref="C110" r:id="rId109" xr:uid="{00000000-0004-0000-0200-00006C000000}"/>
    <hyperlink ref="C111" r:id="rId110" xr:uid="{00000000-0004-0000-0200-00006D000000}"/>
    <hyperlink ref="C112" r:id="rId111" xr:uid="{00000000-0004-0000-0200-00006E000000}"/>
    <hyperlink ref="C113" r:id="rId112" xr:uid="{00000000-0004-0000-0200-00006F000000}"/>
    <hyperlink ref="C114" r:id="rId113" xr:uid="{00000000-0004-0000-0200-000070000000}"/>
    <hyperlink ref="C115" r:id="rId114" xr:uid="{00000000-0004-0000-0200-000071000000}"/>
    <hyperlink ref="C116" r:id="rId115" xr:uid="{00000000-0004-0000-0200-000072000000}"/>
    <hyperlink ref="C117" r:id="rId116" xr:uid="{00000000-0004-0000-0200-000073000000}"/>
    <hyperlink ref="C118" r:id="rId117" xr:uid="{00000000-0004-0000-0200-000074000000}"/>
    <hyperlink ref="C119" r:id="rId118" xr:uid="{00000000-0004-0000-0200-000075000000}"/>
    <hyperlink ref="C120" r:id="rId119" xr:uid="{00000000-0004-0000-0200-000076000000}"/>
    <hyperlink ref="C121" r:id="rId120" xr:uid="{00000000-0004-0000-0200-000077000000}"/>
    <hyperlink ref="C122" r:id="rId121" xr:uid="{00000000-0004-0000-0200-000078000000}"/>
    <hyperlink ref="C123" r:id="rId122" xr:uid="{00000000-0004-0000-0200-000079000000}"/>
    <hyperlink ref="C124" r:id="rId123" xr:uid="{00000000-0004-0000-0200-00007A000000}"/>
    <hyperlink ref="C125" r:id="rId124" xr:uid="{00000000-0004-0000-0200-00007B000000}"/>
    <hyperlink ref="C126" r:id="rId125" xr:uid="{00000000-0004-0000-0200-00007C000000}"/>
    <hyperlink ref="C127" r:id="rId126" xr:uid="{00000000-0004-0000-0200-00007D000000}"/>
    <hyperlink ref="C128" r:id="rId127" xr:uid="{00000000-0004-0000-0200-00007E000000}"/>
    <hyperlink ref="C129" r:id="rId128" xr:uid="{00000000-0004-0000-0200-00007F000000}"/>
    <hyperlink ref="C130" r:id="rId129" xr:uid="{00000000-0004-0000-0200-000080000000}"/>
    <hyperlink ref="C131" r:id="rId130" xr:uid="{00000000-0004-0000-0200-000081000000}"/>
    <hyperlink ref="C132" r:id="rId131" xr:uid="{00000000-0004-0000-0200-000082000000}"/>
    <hyperlink ref="C133" r:id="rId132" xr:uid="{00000000-0004-0000-0200-000083000000}"/>
    <hyperlink ref="C134" r:id="rId133" xr:uid="{00000000-0004-0000-0200-000084000000}"/>
    <hyperlink ref="C135" r:id="rId134" xr:uid="{00000000-0004-0000-0200-000085000000}"/>
    <hyperlink ref="C136" r:id="rId135" xr:uid="{00000000-0004-0000-0200-000086000000}"/>
    <hyperlink ref="C137" r:id="rId136" xr:uid="{00000000-0004-0000-0200-000087000000}"/>
    <hyperlink ref="C138" r:id="rId137" xr:uid="{00000000-0004-0000-0200-000088000000}"/>
    <hyperlink ref="C139" r:id="rId138" xr:uid="{00000000-0004-0000-0200-000089000000}"/>
    <hyperlink ref="C140" r:id="rId139" xr:uid="{00000000-0004-0000-0200-00008A000000}"/>
    <hyperlink ref="C141" r:id="rId140" xr:uid="{00000000-0004-0000-0200-00008B000000}"/>
    <hyperlink ref="C142" r:id="rId141" xr:uid="{00000000-0004-0000-0200-00008C000000}"/>
    <hyperlink ref="C143" r:id="rId142" xr:uid="{00000000-0004-0000-0200-00008D000000}"/>
    <hyperlink ref="C144" r:id="rId143" xr:uid="{00000000-0004-0000-0200-00008E000000}"/>
    <hyperlink ref="C145" r:id="rId144" xr:uid="{00000000-0004-0000-0200-00008F000000}"/>
    <hyperlink ref="C146" r:id="rId145" xr:uid="{00000000-0004-0000-0200-000090000000}"/>
    <hyperlink ref="C147" r:id="rId146" xr:uid="{00000000-0004-0000-0200-000091000000}"/>
    <hyperlink ref="C148" r:id="rId147" xr:uid="{00000000-0004-0000-0200-000092000000}"/>
    <hyperlink ref="C149" r:id="rId148" xr:uid="{00000000-0004-0000-0200-000093000000}"/>
    <hyperlink ref="C150" r:id="rId149" xr:uid="{00000000-0004-0000-0200-000094000000}"/>
    <hyperlink ref="C151" r:id="rId150" xr:uid="{00000000-0004-0000-0200-000095000000}"/>
    <hyperlink ref="C152" r:id="rId151" xr:uid="{00000000-0004-0000-0200-000096000000}"/>
    <hyperlink ref="C153" r:id="rId152" xr:uid="{00000000-0004-0000-0200-000097000000}"/>
    <hyperlink ref="C154" r:id="rId153" xr:uid="{00000000-0004-0000-0200-000098000000}"/>
    <hyperlink ref="C155" r:id="rId154" xr:uid="{00000000-0004-0000-0200-000099000000}"/>
    <hyperlink ref="C156" r:id="rId155" xr:uid="{00000000-0004-0000-0200-00009A000000}"/>
    <hyperlink ref="C157" r:id="rId156" xr:uid="{00000000-0004-0000-0200-00009B000000}"/>
    <hyperlink ref="C158" r:id="rId157" xr:uid="{00000000-0004-0000-0200-00009C000000}"/>
    <hyperlink ref="C159" r:id="rId158" xr:uid="{00000000-0004-0000-0200-00009D000000}"/>
    <hyperlink ref="C160" r:id="rId159" xr:uid="{00000000-0004-0000-0200-00009E000000}"/>
    <hyperlink ref="C161" r:id="rId160" xr:uid="{00000000-0004-0000-0200-00009F000000}"/>
    <hyperlink ref="C162" r:id="rId161" xr:uid="{00000000-0004-0000-0200-0000A0000000}"/>
    <hyperlink ref="C163" r:id="rId162" xr:uid="{00000000-0004-0000-0200-0000A1000000}"/>
    <hyperlink ref="C164" r:id="rId163" xr:uid="{00000000-0004-0000-0200-0000A2000000}"/>
    <hyperlink ref="C165" r:id="rId164" xr:uid="{00000000-0004-0000-0200-0000A3000000}"/>
    <hyperlink ref="C166" r:id="rId165" xr:uid="{00000000-0004-0000-0200-0000A4000000}"/>
    <hyperlink ref="C167" r:id="rId166" xr:uid="{00000000-0004-0000-0200-0000A5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4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579</v>
      </c>
      <c r="I1" t="s">
        <v>580</v>
      </c>
      <c r="J1" t="s">
        <v>581</v>
      </c>
    </row>
    <row r="2" spans="1:10" x14ac:dyDescent="0.3">
      <c r="A2">
        <v>1</v>
      </c>
      <c r="B2" t="s">
        <v>193</v>
      </c>
      <c r="C2" s="1" t="s">
        <v>194</v>
      </c>
      <c r="D2" t="s">
        <v>60</v>
      </c>
      <c r="E2" t="s">
        <v>195</v>
      </c>
      <c r="G2">
        <v>300</v>
      </c>
      <c r="H2">
        <v>100</v>
      </c>
      <c r="I2">
        <v>100</v>
      </c>
      <c r="J2">
        <v>100</v>
      </c>
    </row>
    <row r="3" spans="1:10" x14ac:dyDescent="0.3">
      <c r="A3">
        <v>1</v>
      </c>
      <c r="B3" t="s">
        <v>76</v>
      </c>
      <c r="C3" s="1" t="s">
        <v>77</v>
      </c>
      <c r="D3" t="s">
        <v>64</v>
      </c>
      <c r="E3" t="s">
        <v>78</v>
      </c>
      <c r="G3">
        <v>300</v>
      </c>
      <c r="H3">
        <v>100</v>
      </c>
      <c r="I3">
        <v>100</v>
      </c>
      <c r="J3">
        <v>100</v>
      </c>
    </row>
    <row r="4" spans="1:10" x14ac:dyDescent="0.3">
      <c r="A4">
        <v>3</v>
      </c>
      <c r="B4" t="s">
        <v>10</v>
      </c>
      <c r="C4" s="1" t="s">
        <v>11</v>
      </c>
      <c r="D4" t="s">
        <v>12</v>
      </c>
      <c r="E4" t="s">
        <v>13</v>
      </c>
      <c r="G4">
        <v>295</v>
      </c>
      <c r="H4">
        <v>100</v>
      </c>
      <c r="I4">
        <v>95</v>
      </c>
      <c r="J4">
        <v>100</v>
      </c>
    </row>
    <row r="5" spans="1:10" x14ac:dyDescent="0.3">
      <c r="A5">
        <v>4</v>
      </c>
      <c r="B5" t="s">
        <v>62</v>
      </c>
      <c r="C5" s="1" t="s">
        <v>63</v>
      </c>
      <c r="D5" t="s">
        <v>64</v>
      </c>
      <c r="E5" t="s">
        <v>65</v>
      </c>
      <c r="G5">
        <v>280</v>
      </c>
      <c r="H5">
        <v>100</v>
      </c>
      <c r="I5">
        <v>80</v>
      </c>
      <c r="J5">
        <v>100</v>
      </c>
    </row>
    <row r="6" spans="1:10" x14ac:dyDescent="0.3">
      <c r="A6">
        <v>5</v>
      </c>
      <c r="B6" t="s">
        <v>33</v>
      </c>
      <c r="C6" s="1" t="s">
        <v>34</v>
      </c>
      <c r="D6" t="s">
        <v>16</v>
      </c>
      <c r="E6" t="s">
        <v>35</v>
      </c>
      <c r="G6">
        <v>269</v>
      </c>
      <c r="H6">
        <v>100</v>
      </c>
      <c r="I6">
        <v>100</v>
      </c>
      <c r="J6">
        <v>69</v>
      </c>
    </row>
    <row r="7" spans="1:10" x14ac:dyDescent="0.3">
      <c r="A7">
        <v>5</v>
      </c>
      <c r="B7" t="s">
        <v>79</v>
      </c>
      <c r="C7" s="1" t="s">
        <v>80</v>
      </c>
      <c r="D7" t="s">
        <v>81</v>
      </c>
      <c r="E7" t="s">
        <v>82</v>
      </c>
      <c r="G7">
        <v>269</v>
      </c>
      <c r="H7">
        <v>100</v>
      </c>
      <c r="I7">
        <v>100</v>
      </c>
      <c r="J7">
        <v>69</v>
      </c>
    </row>
    <row r="8" spans="1:10" x14ac:dyDescent="0.3">
      <c r="A8">
        <v>7</v>
      </c>
      <c r="B8" t="s">
        <v>98</v>
      </c>
      <c r="C8" s="1" t="s">
        <v>99</v>
      </c>
      <c r="D8" t="s">
        <v>100</v>
      </c>
      <c r="E8" t="s">
        <v>101</v>
      </c>
      <c r="G8">
        <v>222</v>
      </c>
      <c r="H8">
        <v>100</v>
      </c>
      <c r="I8">
        <v>100</v>
      </c>
      <c r="J8">
        <v>22</v>
      </c>
    </row>
    <row r="9" spans="1:10" x14ac:dyDescent="0.3">
      <c r="A9">
        <v>7</v>
      </c>
      <c r="B9" t="s">
        <v>36</v>
      </c>
      <c r="C9" s="1" t="s">
        <v>37</v>
      </c>
      <c r="D9" t="s">
        <v>16</v>
      </c>
      <c r="E9" t="s">
        <v>38</v>
      </c>
      <c r="G9">
        <v>222</v>
      </c>
      <c r="H9">
        <v>100</v>
      </c>
      <c r="I9">
        <v>100</v>
      </c>
      <c r="J9">
        <v>22</v>
      </c>
    </row>
    <row r="10" spans="1:10" x14ac:dyDescent="0.3">
      <c r="A10">
        <v>7</v>
      </c>
      <c r="B10" t="s">
        <v>116</v>
      </c>
      <c r="C10" s="1" t="s">
        <v>117</v>
      </c>
      <c r="D10" t="s">
        <v>118</v>
      </c>
      <c r="E10" t="s">
        <v>119</v>
      </c>
      <c r="G10">
        <v>222</v>
      </c>
      <c r="H10">
        <v>100</v>
      </c>
      <c r="I10">
        <v>100</v>
      </c>
      <c r="J10">
        <v>22</v>
      </c>
    </row>
    <row r="11" spans="1:10" x14ac:dyDescent="0.3">
      <c r="A11">
        <v>7</v>
      </c>
      <c r="B11" t="s">
        <v>290</v>
      </c>
      <c r="C11" s="1" t="s">
        <v>291</v>
      </c>
      <c r="D11" t="s">
        <v>81</v>
      </c>
      <c r="E11" t="s">
        <v>292</v>
      </c>
      <c r="G11">
        <v>222</v>
      </c>
      <c r="H11">
        <v>100</v>
      </c>
      <c r="I11">
        <v>100</v>
      </c>
      <c r="J11">
        <v>22</v>
      </c>
    </row>
    <row r="12" spans="1:10" x14ac:dyDescent="0.3">
      <c r="A12">
        <v>7</v>
      </c>
      <c r="B12" t="s">
        <v>326</v>
      </c>
      <c r="C12" s="1" t="s">
        <v>327</v>
      </c>
      <c r="D12" t="s">
        <v>223</v>
      </c>
      <c r="E12" t="s">
        <v>328</v>
      </c>
      <c r="G12">
        <v>222</v>
      </c>
      <c r="H12">
        <v>100</v>
      </c>
      <c r="I12">
        <v>100</v>
      </c>
      <c r="J12">
        <v>22</v>
      </c>
    </row>
    <row r="13" spans="1:10" x14ac:dyDescent="0.3">
      <c r="A13">
        <v>7</v>
      </c>
      <c r="B13" t="s">
        <v>43</v>
      </c>
      <c r="C13" s="1" t="s">
        <v>44</v>
      </c>
      <c r="D13" t="s">
        <v>24</v>
      </c>
      <c r="E13" t="s">
        <v>45</v>
      </c>
      <c r="G13">
        <v>222</v>
      </c>
      <c r="H13">
        <v>100</v>
      </c>
      <c r="I13">
        <v>100</v>
      </c>
      <c r="J13">
        <v>22</v>
      </c>
    </row>
    <row r="14" spans="1:10" x14ac:dyDescent="0.3">
      <c r="A14">
        <v>7</v>
      </c>
      <c r="B14" t="s">
        <v>344</v>
      </c>
      <c r="C14" s="1" t="s">
        <v>345</v>
      </c>
      <c r="D14" t="s">
        <v>346</v>
      </c>
      <c r="E14" t="s">
        <v>347</v>
      </c>
      <c r="G14">
        <v>222</v>
      </c>
      <c r="H14">
        <v>100</v>
      </c>
      <c r="I14">
        <v>100</v>
      </c>
      <c r="J14">
        <v>22</v>
      </c>
    </row>
    <row r="15" spans="1:10" x14ac:dyDescent="0.3">
      <c r="A15">
        <v>14</v>
      </c>
      <c r="B15" t="s">
        <v>14</v>
      </c>
      <c r="C15" s="1" t="s">
        <v>15</v>
      </c>
      <c r="D15" t="s">
        <v>16</v>
      </c>
      <c r="E15" t="s">
        <v>17</v>
      </c>
      <c r="G15">
        <v>217</v>
      </c>
      <c r="H15">
        <v>100</v>
      </c>
      <c r="I15">
        <v>95</v>
      </c>
      <c r="J15">
        <v>22</v>
      </c>
    </row>
    <row r="16" spans="1:10" x14ac:dyDescent="0.3">
      <c r="A16">
        <v>15</v>
      </c>
      <c r="B16" t="s">
        <v>70</v>
      </c>
      <c r="C16" s="1" t="s">
        <v>71</v>
      </c>
      <c r="D16" t="s">
        <v>16</v>
      </c>
      <c r="E16" t="s">
        <v>72</v>
      </c>
      <c r="G16">
        <v>212</v>
      </c>
      <c r="H16">
        <v>100</v>
      </c>
      <c r="I16">
        <v>100</v>
      </c>
      <c r="J16">
        <v>12</v>
      </c>
    </row>
    <row r="17" spans="1:10" x14ac:dyDescent="0.3">
      <c r="A17">
        <v>15</v>
      </c>
      <c r="B17" t="s">
        <v>260</v>
      </c>
      <c r="C17" s="1" t="s">
        <v>261</v>
      </c>
      <c r="D17" t="s">
        <v>96</v>
      </c>
      <c r="E17" t="s">
        <v>262</v>
      </c>
      <c r="G17">
        <v>212</v>
      </c>
      <c r="H17">
        <v>100</v>
      </c>
      <c r="I17">
        <v>100</v>
      </c>
      <c r="J17">
        <v>12</v>
      </c>
    </row>
    <row r="18" spans="1:10" x14ac:dyDescent="0.3">
      <c r="A18">
        <v>15</v>
      </c>
      <c r="B18" t="s">
        <v>360</v>
      </c>
      <c r="C18" s="1" t="s">
        <v>361</v>
      </c>
      <c r="D18" t="s">
        <v>362</v>
      </c>
      <c r="E18" t="s">
        <v>363</v>
      </c>
      <c r="G18">
        <v>212</v>
      </c>
      <c r="H18">
        <v>100</v>
      </c>
      <c r="I18">
        <v>100</v>
      </c>
      <c r="J18">
        <v>12</v>
      </c>
    </row>
    <row r="19" spans="1:10" x14ac:dyDescent="0.3">
      <c r="A19">
        <v>18</v>
      </c>
      <c r="B19" t="s">
        <v>256</v>
      </c>
      <c r="C19" s="1" t="s">
        <v>257</v>
      </c>
      <c r="D19" t="s">
        <v>258</v>
      </c>
      <c r="E19" t="s">
        <v>259</v>
      </c>
      <c r="G19">
        <v>211</v>
      </c>
      <c r="H19">
        <v>100</v>
      </c>
      <c r="I19">
        <v>11</v>
      </c>
      <c r="J19">
        <v>100</v>
      </c>
    </row>
    <row r="20" spans="1:10" x14ac:dyDescent="0.3">
      <c r="A20">
        <v>18</v>
      </c>
      <c r="B20" t="s">
        <v>39</v>
      </c>
      <c r="C20" s="1" t="s">
        <v>40</v>
      </c>
      <c r="D20" t="s">
        <v>41</v>
      </c>
      <c r="E20" t="s">
        <v>42</v>
      </c>
      <c r="G20">
        <v>211</v>
      </c>
      <c r="H20">
        <v>100</v>
      </c>
      <c r="I20">
        <v>11</v>
      </c>
      <c r="J20">
        <v>100</v>
      </c>
    </row>
    <row r="21" spans="1:10" x14ac:dyDescent="0.3">
      <c r="A21">
        <v>20</v>
      </c>
      <c r="B21" t="s">
        <v>46</v>
      </c>
      <c r="C21" s="1" t="s">
        <v>47</v>
      </c>
      <c r="D21" t="s">
        <v>48</v>
      </c>
      <c r="E21" t="s">
        <v>49</v>
      </c>
      <c r="G21">
        <v>210</v>
      </c>
      <c r="H21">
        <v>100</v>
      </c>
      <c r="I21">
        <v>10</v>
      </c>
      <c r="J21">
        <v>100</v>
      </c>
    </row>
    <row r="22" spans="1:10" x14ac:dyDescent="0.3">
      <c r="A22">
        <v>21</v>
      </c>
      <c r="B22" t="s">
        <v>243</v>
      </c>
      <c r="C22" s="1" t="s">
        <v>244</v>
      </c>
      <c r="D22" t="s">
        <v>191</v>
      </c>
      <c r="E22" t="s">
        <v>245</v>
      </c>
      <c r="G22">
        <v>205</v>
      </c>
      <c r="H22">
        <v>100</v>
      </c>
      <c r="I22">
        <v>100</v>
      </c>
      <c r="J22">
        <v>5</v>
      </c>
    </row>
    <row r="23" spans="1:10" x14ac:dyDescent="0.3">
      <c r="A23">
        <v>21</v>
      </c>
      <c r="B23" t="s">
        <v>131</v>
      </c>
      <c r="C23" s="1" t="s">
        <v>132</v>
      </c>
      <c r="D23" t="s">
        <v>133</v>
      </c>
      <c r="E23" t="s">
        <v>134</v>
      </c>
      <c r="G23">
        <v>205</v>
      </c>
      <c r="H23">
        <v>100</v>
      </c>
      <c r="I23">
        <v>100</v>
      </c>
      <c r="J23">
        <v>5</v>
      </c>
    </row>
    <row r="24" spans="1:10" x14ac:dyDescent="0.3">
      <c r="A24">
        <v>23</v>
      </c>
      <c r="B24" t="s">
        <v>18</v>
      </c>
      <c r="C24" s="1" t="s">
        <v>19</v>
      </c>
      <c r="D24" t="s">
        <v>20</v>
      </c>
      <c r="E24" t="s">
        <v>21</v>
      </c>
      <c r="G24">
        <v>201</v>
      </c>
      <c r="H24">
        <v>100</v>
      </c>
      <c r="I24">
        <v>100</v>
      </c>
      <c r="J24">
        <v>1</v>
      </c>
    </row>
    <row r="25" spans="1:10" x14ac:dyDescent="0.3">
      <c r="A25">
        <v>24</v>
      </c>
      <c r="B25" t="s">
        <v>58</v>
      </c>
      <c r="C25" s="1" t="s">
        <v>59</v>
      </c>
      <c r="D25" t="s">
        <v>60</v>
      </c>
      <c r="E25" t="s">
        <v>61</v>
      </c>
      <c r="G25">
        <v>200</v>
      </c>
      <c r="H25">
        <v>100</v>
      </c>
      <c r="I25">
        <v>0</v>
      </c>
      <c r="J25">
        <v>100</v>
      </c>
    </row>
    <row r="26" spans="1:10" x14ac:dyDescent="0.3">
      <c r="A26">
        <v>24</v>
      </c>
      <c r="B26" t="s">
        <v>145</v>
      </c>
      <c r="C26" s="1" t="s">
        <v>146</v>
      </c>
      <c r="D26" t="s">
        <v>147</v>
      </c>
      <c r="E26" t="s">
        <v>148</v>
      </c>
      <c r="G26">
        <v>200</v>
      </c>
      <c r="H26">
        <v>100</v>
      </c>
      <c r="I26">
        <v>100</v>
      </c>
      <c r="J26">
        <v>0</v>
      </c>
    </row>
    <row r="27" spans="1:10" x14ac:dyDescent="0.3">
      <c r="A27">
        <v>24</v>
      </c>
      <c r="B27" t="s">
        <v>173</v>
      </c>
      <c r="C27" s="1" t="s">
        <v>174</v>
      </c>
      <c r="D27" t="s">
        <v>133</v>
      </c>
      <c r="E27" t="s">
        <v>175</v>
      </c>
      <c r="G27">
        <v>200</v>
      </c>
      <c r="H27">
        <v>100</v>
      </c>
      <c r="I27">
        <v>0</v>
      </c>
      <c r="J27">
        <v>100</v>
      </c>
    </row>
    <row r="28" spans="1:10" x14ac:dyDescent="0.3">
      <c r="A28">
        <v>27</v>
      </c>
      <c r="B28" t="s">
        <v>228</v>
      </c>
      <c r="C28" s="1" t="s">
        <v>229</v>
      </c>
      <c r="D28" t="s">
        <v>126</v>
      </c>
      <c r="E28" t="s">
        <v>230</v>
      </c>
      <c r="G28">
        <v>197</v>
      </c>
      <c r="H28">
        <v>100</v>
      </c>
      <c r="I28">
        <v>75</v>
      </c>
      <c r="J28">
        <v>22</v>
      </c>
    </row>
    <row r="29" spans="1:10" x14ac:dyDescent="0.3">
      <c r="A29">
        <v>28</v>
      </c>
      <c r="B29" t="s">
        <v>473</v>
      </c>
      <c r="C29" s="1" t="s">
        <v>474</v>
      </c>
      <c r="D29" t="s">
        <v>100</v>
      </c>
      <c r="E29" t="s">
        <v>475</v>
      </c>
      <c r="G29">
        <v>190</v>
      </c>
      <c r="H29">
        <v>100</v>
      </c>
      <c r="I29">
        <v>90</v>
      </c>
      <c r="J29">
        <v>0</v>
      </c>
    </row>
    <row r="30" spans="1:10" x14ac:dyDescent="0.3">
      <c r="A30">
        <v>29</v>
      </c>
      <c r="B30" t="s">
        <v>335</v>
      </c>
      <c r="C30" s="1" t="s">
        <v>336</v>
      </c>
      <c r="D30" t="s">
        <v>16</v>
      </c>
      <c r="E30" t="s">
        <v>337</v>
      </c>
      <c r="G30">
        <v>180</v>
      </c>
      <c r="H30">
        <v>100</v>
      </c>
      <c r="I30">
        <v>11</v>
      </c>
      <c r="J30">
        <v>69</v>
      </c>
    </row>
    <row r="31" spans="1:10" x14ac:dyDescent="0.3">
      <c r="A31">
        <v>29</v>
      </c>
      <c r="B31" t="s">
        <v>444</v>
      </c>
      <c r="C31" s="1" t="s">
        <v>445</v>
      </c>
      <c r="D31" t="s">
        <v>223</v>
      </c>
      <c r="E31" t="s">
        <v>446</v>
      </c>
      <c r="G31">
        <v>180</v>
      </c>
      <c r="H31">
        <v>100</v>
      </c>
      <c r="I31">
        <v>75</v>
      </c>
      <c r="J31">
        <v>5</v>
      </c>
    </row>
    <row r="32" spans="1:10" x14ac:dyDescent="0.3">
      <c r="A32">
        <v>31</v>
      </c>
      <c r="B32" t="s">
        <v>50</v>
      </c>
      <c r="C32" s="1" t="s">
        <v>51</v>
      </c>
      <c r="D32" t="s">
        <v>52</v>
      </c>
      <c r="E32" t="s">
        <v>53</v>
      </c>
      <c r="G32">
        <v>177</v>
      </c>
      <c r="H32">
        <v>100</v>
      </c>
      <c r="I32">
        <v>65</v>
      </c>
      <c r="J32">
        <v>12</v>
      </c>
    </row>
    <row r="33" spans="1:10" x14ac:dyDescent="0.3">
      <c r="A33">
        <v>32</v>
      </c>
      <c r="B33" t="s">
        <v>94</v>
      </c>
      <c r="C33" s="1" t="s">
        <v>95</v>
      </c>
      <c r="D33" t="s">
        <v>96</v>
      </c>
      <c r="E33" t="s">
        <v>97</v>
      </c>
      <c r="G33">
        <v>170</v>
      </c>
      <c r="H33">
        <v>60</v>
      </c>
      <c r="I33">
        <v>10</v>
      </c>
      <c r="J33">
        <v>100</v>
      </c>
    </row>
    <row r="34" spans="1:10" x14ac:dyDescent="0.3">
      <c r="A34">
        <v>33</v>
      </c>
      <c r="B34" t="s">
        <v>296</v>
      </c>
      <c r="C34" s="1" t="s">
        <v>297</v>
      </c>
      <c r="D34" t="s">
        <v>178</v>
      </c>
      <c r="E34" t="s">
        <v>298</v>
      </c>
      <c r="G34">
        <v>165</v>
      </c>
      <c r="H34">
        <v>60</v>
      </c>
      <c r="I34">
        <v>100</v>
      </c>
      <c r="J34">
        <v>5</v>
      </c>
    </row>
    <row r="35" spans="1:10" x14ac:dyDescent="0.3">
      <c r="A35">
        <v>33</v>
      </c>
      <c r="B35" t="s">
        <v>293</v>
      </c>
      <c r="C35" s="1" t="s">
        <v>294</v>
      </c>
      <c r="D35" t="s">
        <v>216</v>
      </c>
      <c r="E35" t="s">
        <v>295</v>
      </c>
      <c r="G35">
        <v>165</v>
      </c>
      <c r="H35">
        <v>60</v>
      </c>
      <c r="I35">
        <v>100</v>
      </c>
      <c r="J35">
        <v>5</v>
      </c>
    </row>
    <row r="36" spans="1:10" x14ac:dyDescent="0.3">
      <c r="A36">
        <v>35</v>
      </c>
      <c r="B36" t="s">
        <v>160</v>
      </c>
      <c r="C36" s="1" t="s">
        <v>161</v>
      </c>
      <c r="D36" t="s">
        <v>60</v>
      </c>
      <c r="E36" t="s">
        <v>162</v>
      </c>
      <c r="G36">
        <v>147</v>
      </c>
      <c r="H36">
        <v>100</v>
      </c>
      <c r="I36">
        <v>25</v>
      </c>
      <c r="J36">
        <v>22</v>
      </c>
    </row>
    <row r="37" spans="1:10" x14ac:dyDescent="0.3">
      <c r="A37">
        <v>35</v>
      </c>
      <c r="B37" t="s">
        <v>338</v>
      </c>
      <c r="C37" s="1" t="s">
        <v>339</v>
      </c>
      <c r="D37" t="s">
        <v>48</v>
      </c>
      <c r="E37" t="s">
        <v>340</v>
      </c>
      <c r="G37">
        <v>147</v>
      </c>
      <c r="H37">
        <v>100</v>
      </c>
      <c r="I37">
        <v>25</v>
      </c>
      <c r="J37">
        <v>22</v>
      </c>
    </row>
    <row r="38" spans="1:10" x14ac:dyDescent="0.3">
      <c r="A38">
        <v>37</v>
      </c>
      <c r="B38" t="s">
        <v>180</v>
      </c>
      <c r="C38" s="1" t="s">
        <v>181</v>
      </c>
      <c r="D38" t="s">
        <v>178</v>
      </c>
      <c r="E38" t="s">
        <v>182</v>
      </c>
      <c r="G38">
        <v>137</v>
      </c>
      <c r="H38">
        <v>100</v>
      </c>
      <c r="I38">
        <v>15</v>
      </c>
      <c r="J38">
        <v>22</v>
      </c>
    </row>
    <row r="39" spans="1:10" x14ac:dyDescent="0.3">
      <c r="A39">
        <v>38</v>
      </c>
      <c r="B39" t="s">
        <v>141</v>
      </c>
      <c r="C39" s="1" t="s">
        <v>142</v>
      </c>
      <c r="D39" t="s">
        <v>143</v>
      </c>
      <c r="E39" t="s">
        <v>144</v>
      </c>
      <c r="G39">
        <v>133</v>
      </c>
      <c r="H39">
        <v>100</v>
      </c>
      <c r="I39">
        <v>11</v>
      </c>
      <c r="J39">
        <v>22</v>
      </c>
    </row>
    <row r="40" spans="1:10" x14ac:dyDescent="0.3">
      <c r="A40">
        <v>38</v>
      </c>
      <c r="B40" t="s">
        <v>400</v>
      </c>
      <c r="C40" s="1" t="s">
        <v>401</v>
      </c>
      <c r="D40" t="s">
        <v>89</v>
      </c>
      <c r="E40" t="s">
        <v>402</v>
      </c>
      <c r="G40">
        <v>133</v>
      </c>
      <c r="H40">
        <v>100</v>
      </c>
      <c r="I40">
        <v>11</v>
      </c>
      <c r="J40">
        <v>22</v>
      </c>
    </row>
    <row r="41" spans="1:10" x14ac:dyDescent="0.3">
      <c r="A41">
        <v>38</v>
      </c>
      <c r="B41" t="s">
        <v>208</v>
      </c>
      <c r="C41" s="1" t="s">
        <v>209</v>
      </c>
      <c r="D41" t="s">
        <v>16</v>
      </c>
      <c r="E41" t="s">
        <v>210</v>
      </c>
      <c r="G41">
        <v>133</v>
      </c>
      <c r="H41">
        <v>100</v>
      </c>
      <c r="I41">
        <v>11</v>
      </c>
      <c r="J41">
        <v>22</v>
      </c>
    </row>
    <row r="42" spans="1:10" x14ac:dyDescent="0.3">
      <c r="A42">
        <v>38</v>
      </c>
      <c r="B42" t="s">
        <v>30</v>
      </c>
      <c r="C42" s="1" t="s">
        <v>31</v>
      </c>
      <c r="D42" t="s">
        <v>20</v>
      </c>
      <c r="E42" t="s">
        <v>32</v>
      </c>
      <c r="G42">
        <v>133</v>
      </c>
      <c r="H42">
        <v>100</v>
      </c>
      <c r="I42">
        <v>11</v>
      </c>
      <c r="J42">
        <v>22</v>
      </c>
    </row>
    <row r="43" spans="1:10" x14ac:dyDescent="0.3">
      <c r="A43">
        <v>38</v>
      </c>
      <c r="B43" t="s">
        <v>536</v>
      </c>
      <c r="C43" s="1" t="s">
        <v>537</v>
      </c>
      <c r="D43" t="s">
        <v>191</v>
      </c>
      <c r="E43" t="s">
        <v>538</v>
      </c>
      <c r="G43">
        <v>133</v>
      </c>
      <c r="H43">
        <v>100</v>
      </c>
      <c r="I43">
        <v>11</v>
      </c>
      <c r="J43">
        <v>22</v>
      </c>
    </row>
    <row r="44" spans="1:10" x14ac:dyDescent="0.3">
      <c r="A44">
        <v>38</v>
      </c>
      <c r="B44" t="s">
        <v>532</v>
      </c>
      <c r="C44" s="1" t="s">
        <v>533</v>
      </c>
      <c r="D44" t="s">
        <v>534</v>
      </c>
      <c r="E44" t="s">
        <v>535</v>
      </c>
      <c r="G44">
        <v>133</v>
      </c>
      <c r="H44">
        <v>100</v>
      </c>
      <c r="I44">
        <v>11</v>
      </c>
      <c r="J44">
        <v>22</v>
      </c>
    </row>
    <row r="45" spans="1:10" x14ac:dyDescent="0.3">
      <c r="A45">
        <v>44</v>
      </c>
      <c r="B45" t="s">
        <v>163</v>
      </c>
      <c r="C45" s="1" t="s">
        <v>164</v>
      </c>
      <c r="D45" t="s">
        <v>89</v>
      </c>
      <c r="E45" t="s">
        <v>165</v>
      </c>
      <c r="G45">
        <v>132</v>
      </c>
      <c r="H45">
        <v>100</v>
      </c>
      <c r="I45">
        <v>10</v>
      </c>
      <c r="J45">
        <v>22</v>
      </c>
    </row>
    <row r="46" spans="1:10" x14ac:dyDescent="0.3">
      <c r="A46">
        <v>44</v>
      </c>
      <c r="B46" t="s">
        <v>26</v>
      </c>
      <c r="C46" s="1" t="s">
        <v>27</v>
      </c>
      <c r="D46" t="s">
        <v>28</v>
      </c>
      <c r="E46" t="s">
        <v>29</v>
      </c>
      <c r="G46">
        <v>132</v>
      </c>
      <c r="H46">
        <v>100</v>
      </c>
      <c r="I46">
        <v>10</v>
      </c>
      <c r="J46">
        <v>22</v>
      </c>
    </row>
    <row r="47" spans="1:10" x14ac:dyDescent="0.3">
      <c r="A47">
        <v>46</v>
      </c>
      <c r="B47" t="s">
        <v>54</v>
      </c>
      <c r="C47" s="1" t="s">
        <v>55</v>
      </c>
      <c r="D47" t="s">
        <v>56</v>
      </c>
      <c r="E47" t="s">
        <v>57</v>
      </c>
      <c r="G47">
        <v>131</v>
      </c>
      <c r="H47">
        <v>100</v>
      </c>
      <c r="I47">
        <v>9</v>
      </c>
      <c r="J47">
        <v>22</v>
      </c>
    </row>
    <row r="48" spans="1:10" x14ac:dyDescent="0.3">
      <c r="A48">
        <v>47</v>
      </c>
      <c r="B48" t="s">
        <v>246</v>
      </c>
      <c r="C48" s="1" t="s">
        <v>247</v>
      </c>
      <c r="D48" t="s">
        <v>178</v>
      </c>
      <c r="E48" t="s">
        <v>248</v>
      </c>
      <c r="G48">
        <v>127</v>
      </c>
      <c r="H48">
        <v>100</v>
      </c>
      <c r="I48">
        <v>15</v>
      </c>
      <c r="J48">
        <v>12</v>
      </c>
    </row>
    <row r="49" spans="1:10" x14ac:dyDescent="0.3">
      <c r="A49">
        <v>48</v>
      </c>
      <c r="B49" t="s">
        <v>135</v>
      </c>
      <c r="C49" s="1" t="s">
        <v>136</v>
      </c>
      <c r="D49" t="s">
        <v>28</v>
      </c>
      <c r="E49" t="s">
        <v>137</v>
      </c>
      <c r="G49">
        <v>123</v>
      </c>
      <c r="H49">
        <v>100</v>
      </c>
      <c r="I49">
        <v>11</v>
      </c>
      <c r="J49">
        <v>12</v>
      </c>
    </row>
    <row r="50" spans="1:10" x14ac:dyDescent="0.3">
      <c r="A50">
        <v>48</v>
      </c>
      <c r="B50" t="s">
        <v>539</v>
      </c>
      <c r="C50" s="1" t="s">
        <v>540</v>
      </c>
      <c r="D50" t="s">
        <v>541</v>
      </c>
      <c r="E50" t="s">
        <v>542</v>
      </c>
      <c r="G50">
        <v>123</v>
      </c>
      <c r="H50">
        <v>100</v>
      </c>
      <c r="I50">
        <v>11</v>
      </c>
      <c r="J50">
        <v>12</v>
      </c>
    </row>
    <row r="51" spans="1:10" x14ac:dyDescent="0.3">
      <c r="A51">
        <v>50</v>
      </c>
      <c r="B51" t="s">
        <v>218</v>
      </c>
      <c r="C51" s="1" t="s">
        <v>219</v>
      </c>
      <c r="D51" t="s">
        <v>16</v>
      </c>
      <c r="E51" t="s">
        <v>220</v>
      </c>
      <c r="G51">
        <v>122</v>
      </c>
      <c r="H51">
        <v>100</v>
      </c>
      <c r="I51">
        <v>0</v>
      </c>
      <c r="J51">
        <v>22</v>
      </c>
    </row>
    <row r="52" spans="1:10" x14ac:dyDescent="0.3">
      <c r="A52">
        <v>50</v>
      </c>
      <c r="B52" t="s">
        <v>507</v>
      </c>
      <c r="C52" s="1" t="s">
        <v>508</v>
      </c>
      <c r="D52" t="s">
        <v>16</v>
      </c>
      <c r="E52" t="s">
        <v>509</v>
      </c>
      <c r="G52">
        <v>122</v>
      </c>
      <c r="H52">
        <v>100</v>
      </c>
      <c r="I52">
        <v>0</v>
      </c>
      <c r="J52">
        <v>22</v>
      </c>
    </row>
    <row r="53" spans="1:10" x14ac:dyDescent="0.3">
      <c r="A53">
        <v>50</v>
      </c>
      <c r="B53" t="s">
        <v>221</v>
      </c>
      <c r="C53" s="1" t="s">
        <v>222</v>
      </c>
      <c r="D53" t="s">
        <v>223</v>
      </c>
      <c r="E53" t="s">
        <v>224</v>
      </c>
      <c r="G53">
        <v>122</v>
      </c>
      <c r="H53">
        <v>100</v>
      </c>
      <c r="I53">
        <v>10</v>
      </c>
      <c r="J53">
        <v>12</v>
      </c>
    </row>
    <row r="54" spans="1:10" x14ac:dyDescent="0.3">
      <c r="A54">
        <v>50</v>
      </c>
      <c r="B54" t="s">
        <v>189</v>
      </c>
      <c r="C54" s="1" t="s">
        <v>190</v>
      </c>
      <c r="D54" t="s">
        <v>191</v>
      </c>
      <c r="E54" t="s">
        <v>192</v>
      </c>
      <c r="G54">
        <v>122</v>
      </c>
      <c r="H54">
        <v>100</v>
      </c>
      <c r="I54">
        <v>10</v>
      </c>
      <c r="J54">
        <v>12</v>
      </c>
    </row>
    <row r="55" spans="1:10" x14ac:dyDescent="0.3">
      <c r="A55">
        <v>50</v>
      </c>
      <c r="B55" t="s">
        <v>106</v>
      </c>
      <c r="C55" s="1" t="s">
        <v>107</v>
      </c>
      <c r="D55" t="s">
        <v>108</v>
      </c>
      <c r="E55" t="s">
        <v>109</v>
      </c>
      <c r="G55">
        <v>122</v>
      </c>
      <c r="H55">
        <v>100</v>
      </c>
      <c r="I55">
        <v>10</v>
      </c>
      <c r="J55">
        <v>12</v>
      </c>
    </row>
    <row r="56" spans="1:10" x14ac:dyDescent="0.3">
      <c r="A56">
        <v>50</v>
      </c>
      <c r="B56" t="s">
        <v>22</v>
      </c>
      <c r="C56" s="1" t="s">
        <v>23</v>
      </c>
      <c r="D56" t="s">
        <v>24</v>
      </c>
      <c r="E56" t="s">
        <v>25</v>
      </c>
      <c r="G56">
        <v>122</v>
      </c>
      <c r="H56">
        <v>100</v>
      </c>
      <c r="I56">
        <v>0</v>
      </c>
      <c r="J56">
        <v>22</v>
      </c>
    </row>
    <row r="57" spans="1:10" x14ac:dyDescent="0.3">
      <c r="A57">
        <v>56</v>
      </c>
      <c r="B57" t="s">
        <v>519</v>
      </c>
      <c r="C57" s="1" t="s">
        <v>520</v>
      </c>
      <c r="D57" t="s">
        <v>521</v>
      </c>
      <c r="E57" t="s">
        <v>522</v>
      </c>
      <c r="G57">
        <v>121</v>
      </c>
      <c r="H57">
        <v>10</v>
      </c>
      <c r="I57">
        <v>11</v>
      </c>
      <c r="J57">
        <v>100</v>
      </c>
    </row>
    <row r="58" spans="1:10" x14ac:dyDescent="0.3">
      <c r="A58">
        <v>56</v>
      </c>
      <c r="B58" t="s">
        <v>83</v>
      </c>
      <c r="C58" s="1" t="s">
        <v>84</v>
      </c>
      <c r="D58" t="s">
        <v>85</v>
      </c>
      <c r="E58" t="s">
        <v>86</v>
      </c>
      <c r="G58">
        <v>121</v>
      </c>
      <c r="H58">
        <v>100</v>
      </c>
      <c r="I58">
        <v>20</v>
      </c>
      <c r="J58">
        <v>1</v>
      </c>
    </row>
    <row r="59" spans="1:10" x14ac:dyDescent="0.3">
      <c r="A59">
        <v>58</v>
      </c>
      <c r="B59" t="s">
        <v>113</v>
      </c>
      <c r="C59" s="1" t="s">
        <v>114</v>
      </c>
      <c r="D59" t="s">
        <v>60</v>
      </c>
      <c r="E59" t="s">
        <v>115</v>
      </c>
      <c r="G59">
        <v>120</v>
      </c>
      <c r="H59">
        <v>30</v>
      </c>
      <c r="I59">
        <v>85</v>
      </c>
      <c r="J59">
        <v>5</v>
      </c>
    </row>
    <row r="60" spans="1:10" x14ac:dyDescent="0.3">
      <c r="A60">
        <v>59</v>
      </c>
      <c r="B60" t="s">
        <v>277</v>
      </c>
      <c r="C60" s="1" t="s">
        <v>278</v>
      </c>
      <c r="D60" t="s">
        <v>60</v>
      </c>
      <c r="E60" t="s">
        <v>279</v>
      </c>
      <c r="G60">
        <v>116</v>
      </c>
      <c r="H60">
        <v>100</v>
      </c>
      <c r="I60">
        <v>11</v>
      </c>
      <c r="J60">
        <v>5</v>
      </c>
    </row>
    <row r="61" spans="1:10" x14ac:dyDescent="0.3">
      <c r="A61">
        <v>59</v>
      </c>
      <c r="B61" t="s">
        <v>388</v>
      </c>
      <c r="C61" s="1" t="s">
        <v>389</v>
      </c>
      <c r="D61" t="s">
        <v>191</v>
      </c>
      <c r="E61" t="s">
        <v>390</v>
      </c>
      <c r="G61">
        <v>116</v>
      </c>
      <c r="H61">
        <v>100</v>
      </c>
      <c r="I61">
        <v>11</v>
      </c>
      <c r="J61">
        <v>5</v>
      </c>
    </row>
    <row r="62" spans="1:10" x14ac:dyDescent="0.3">
      <c r="A62">
        <v>59</v>
      </c>
      <c r="B62" t="s">
        <v>199</v>
      </c>
      <c r="C62" s="1" t="s">
        <v>200</v>
      </c>
      <c r="D62" t="s">
        <v>28</v>
      </c>
      <c r="E62" t="s">
        <v>201</v>
      </c>
      <c r="G62">
        <v>116</v>
      </c>
      <c r="H62">
        <v>100</v>
      </c>
      <c r="I62">
        <v>11</v>
      </c>
      <c r="J62">
        <v>5</v>
      </c>
    </row>
    <row r="63" spans="1:10" x14ac:dyDescent="0.3">
      <c r="A63">
        <v>59</v>
      </c>
      <c r="B63" t="s">
        <v>87</v>
      </c>
      <c r="C63" s="1" t="s">
        <v>88</v>
      </c>
      <c r="D63" t="s">
        <v>89</v>
      </c>
      <c r="E63" t="s">
        <v>90</v>
      </c>
      <c r="G63">
        <v>116</v>
      </c>
      <c r="H63">
        <v>100</v>
      </c>
      <c r="I63">
        <v>11</v>
      </c>
      <c r="J63">
        <v>5</v>
      </c>
    </row>
    <row r="64" spans="1:10" x14ac:dyDescent="0.3">
      <c r="A64">
        <v>59</v>
      </c>
      <c r="B64" t="s">
        <v>310</v>
      </c>
      <c r="C64" s="1" t="s">
        <v>311</v>
      </c>
      <c r="D64" t="s">
        <v>89</v>
      </c>
      <c r="E64" t="s">
        <v>312</v>
      </c>
      <c r="G64">
        <v>116</v>
      </c>
      <c r="H64">
        <v>100</v>
      </c>
      <c r="I64">
        <v>11</v>
      </c>
      <c r="J64">
        <v>5</v>
      </c>
    </row>
    <row r="65" spans="1:10" x14ac:dyDescent="0.3">
      <c r="A65">
        <v>59</v>
      </c>
      <c r="B65" t="s">
        <v>406</v>
      </c>
      <c r="C65" s="1" t="s">
        <v>407</v>
      </c>
      <c r="D65" t="s">
        <v>178</v>
      </c>
      <c r="E65" t="s">
        <v>408</v>
      </c>
      <c r="G65">
        <v>116</v>
      </c>
      <c r="H65">
        <v>100</v>
      </c>
      <c r="I65">
        <v>11</v>
      </c>
      <c r="J65">
        <v>5</v>
      </c>
    </row>
    <row r="66" spans="1:10" x14ac:dyDescent="0.3">
      <c r="A66">
        <v>59</v>
      </c>
      <c r="B66" t="s">
        <v>225</v>
      </c>
      <c r="C66" s="1" t="s">
        <v>226</v>
      </c>
      <c r="E66" t="s">
        <v>227</v>
      </c>
      <c r="G66">
        <v>116</v>
      </c>
      <c r="H66">
        <v>100</v>
      </c>
      <c r="I66">
        <v>11</v>
      </c>
      <c r="J66">
        <v>5</v>
      </c>
    </row>
    <row r="67" spans="1:10" x14ac:dyDescent="0.3">
      <c r="A67">
        <v>66</v>
      </c>
      <c r="B67" t="s">
        <v>436</v>
      </c>
      <c r="C67" s="1" t="s">
        <v>437</v>
      </c>
      <c r="D67" t="s">
        <v>438</v>
      </c>
      <c r="E67" t="s">
        <v>439</v>
      </c>
      <c r="G67">
        <v>115</v>
      </c>
      <c r="H67">
        <v>100</v>
      </c>
      <c r="I67">
        <v>10</v>
      </c>
      <c r="J67">
        <v>5</v>
      </c>
    </row>
    <row r="68" spans="1:10" x14ac:dyDescent="0.3">
      <c r="A68">
        <v>67</v>
      </c>
      <c r="B68" t="s">
        <v>546</v>
      </c>
      <c r="C68" s="1" t="s">
        <v>547</v>
      </c>
      <c r="D68" t="s">
        <v>548</v>
      </c>
      <c r="E68" t="s">
        <v>549</v>
      </c>
      <c r="G68">
        <v>112</v>
      </c>
      <c r="H68">
        <v>100</v>
      </c>
      <c r="I68">
        <v>11</v>
      </c>
      <c r="J68">
        <v>1</v>
      </c>
    </row>
    <row r="69" spans="1:10" x14ac:dyDescent="0.3">
      <c r="A69">
        <v>67</v>
      </c>
      <c r="B69" t="s">
        <v>364</v>
      </c>
      <c r="C69" s="1" t="s">
        <v>365</v>
      </c>
      <c r="D69" t="s">
        <v>12</v>
      </c>
      <c r="E69" t="s">
        <v>366</v>
      </c>
      <c r="G69">
        <v>112</v>
      </c>
      <c r="H69">
        <v>100</v>
      </c>
      <c r="I69">
        <v>0</v>
      </c>
      <c r="J69">
        <v>12</v>
      </c>
    </row>
    <row r="70" spans="1:10" x14ac:dyDescent="0.3">
      <c r="A70">
        <v>67</v>
      </c>
      <c r="B70" t="s">
        <v>66</v>
      </c>
      <c r="C70" s="1" t="s">
        <v>67</v>
      </c>
      <c r="D70" t="s">
        <v>68</v>
      </c>
      <c r="E70" t="s">
        <v>69</v>
      </c>
      <c r="G70">
        <v>112</v>
      </c>
      <c r="H70">
        <v>100</v>
      </c>
      <c r="I70">
        <v>12</v>
      </c>
      <c r="J70">
        <v>0</v>
      </c>
    </row>
    <row r="71" spans="1:10" x14ac:dyDescent="0.3">
      <c r="A71">
        <v>67</v>
      </c>
      <c r="B71" t="s">
        <v>357</v>
      </c>
      <c r="C71" s="1" t="s">
        <v>358</v>
      </c>
      <c r="D71" t="s">
        <v>68</v>
      </c>
      <c r="E71" t="s">
        <v>359</v>
      </c>
      <c r="G71">
        <v>112</v>
      </c>
      <c r="H71">
        <v>100</v>
      </c>
      <c r="I71">
        <v>11</v>
      </c>
      <c r="J71">
        <v>1</v>
      </c>
    </row>
    <row r="72" spans="1:10" x14ac:dyDescent="0.3">
      <c r="A72">
        <v>67</v>
      </c>
      <c r="B72" t="s">
        <v>497</v>
      </c>
      <c r="C72" s="1" t="s">
        <v>498</v>
      </c>
      <c r="D72" t="s">
        <v>282</v>
      </c>
      <c r="E72" t="s">
        <v>499</v>
      </c>
      <c r="G72">
        <v>112</v>
      </c>
      <c r="H72">
        <v>100</v>
      </c>
      <c r="I72">
        <v>0</v>
      </c>
      <c r="J72">
        <v>12</v>
      </c>
    </row>
    <row r="73" spans="1:10" x14ac:dyDescent="0.3">
      <c r="A73">
        <v>67</v>
      </c>
      <c r="B73" t="s">
        <v>234</v>
      </c>
      <c r="C73" s="1" t="s">
        <v>235</v>
      </c>
      <c r="D73" t="s">
        <v>20</v>
      </c>
      <c r="E73" t="s">
        <v>236</v>
      </c>
      <c r="G73">
        <v>112</v>
      </c>
      <c r="H73">
        <v>100</v>
      </c>
      <c r="I73">
        <v>11</v>
      </c>
      <c r="J73">
        <v>1</v>
      </c>
    </row>
    <row r="74" spans="1:10" x14ac:dyDescent="0.3">
      <c r="A74">
        <v>67</v>
      </c>
      <c r="B74" t="s">
        <v>124</v>
      </c>
      <c r="C74" s="1" t="s">
        <v>125</v>
      </c>
      <c r="D74" t="s">
        <v>126</v>
      </c>
      <c r="E74" t="s">
        <v>127</v>
      </c>
      <c r="G74">
        <v>112</v>
      </c>
      <c r="H74">
        <v>100</v>
      </c>
      <c r="I74">
        <v>11</v>
      </c>
      <c r="J74">
        <v>1</v>
      </c>
    </row>
    <row r="75" spans="1:10" x14ac:dyDescent="0.3">
      <c r="A75">
        <v>67</v>
      </c>
      <c r="B75" t="s">
        <v>73</v>
      </c>
      <c r="C75" s="1" t="s">
        <v>74</v>
      </c>
      <c r="D75" t="s">
        <v>28</v>
      </c>
      <c r="E75" t="s">
        <v>75</v>
      </c>
      <c r="G75">
        <v>112</v>
      </c>
      <c r="H75">
        <v>100</v>
      </c>
      <c r="I75">
        <v>11</v>
      </c>
      <c r="J75">
        <v>1</v>
      </c>
    </row>
    <row r="76" spans="1:10" x14ac:dyDescent="0.3">
      <c r="A76">
        <v>67</v>
      </c>
      <c r="B76" t="s">
        <v>412</v>
      </c>
      <c r="C76" s="1" t="s">
        <v>413</v>
      </c>
      <c r="D76" t="s">
        <v>414</v>
      </c>
      <c r="E76" t="s">
        <v>415</v>
      </c>
      <c r="G76">
        <v>112</v>
      </c>
      <c r="H76">
        <v>100</v>
      </c>
      <c r="I76">
        <v>11</v>
      </c>
      <c r="J76">
        <v>1</v>
      </c>
    </row>
    <row r="77" spans="1:10" x14ac:dyDescent="0.3">
      <c r="A77">
        <v>76</v>
      </c>
      <c r="B77" t="s">
        <v>120</v>
      </c>
      <c r="C77" s="1" t="s">
        <v>121</v>
      </c>
      <c r="D77" t="s">
        <v>122</v>
      </c>
      <c r="E77" t="s">
        <v>123</v>
      </c>
      <c r="G77">
        <v>111</v>
      </c>
      <c r="H77">
        <v>100</v>
      </c>
      <c r="I77">
        <v>11</v>
      </c>
      <c r="J77">
        <v>0</v>
      </c>
    </row>
    <row r="78" spans="1:10" x14ac:dyDescent="0.3">
      <c r="A78">
        <v>76</v>
      </c>
      <c r="B78" t="s">
        <v>430</v>
      </c>
      <c r="C78" s="1" t="s">
        <v>431</v>
      </c>
      <c r="D78" t="s">
        <v>258</v>
      </c>
      <c r="E78" t="s">
        <v>432</v>
      </c>
      <c r="G78">
        <v>111</v>
      </c>
      <c r="H78">
        <v>100</v>
      </c>
      <c r="I78">
        <v>11</v>
      </c>
      <c r="J78">
        <v>0</v>
      </c>
    </row>
    <row r="79" spans="1:10" x14ac:dyDescent="0.3">
      <c r="A79">
        <v>76</v>
      </c>
      <c r="B79" t="s">
        <v>456</v>
      </c>
      <c r="C79" s="1" t="s">
        <v>457</v>
      </c>
      <c r="D79" t="s">
        <v>178</v>
      </c>
      <c r="E79" t="s">
        <v>458</v>
      </c>
      <c r="G79">
        <v>111</v>
      </c>
      <c r="H79">
        <v>100</v>
      </c>
      <c r="I79">
        <v>10</v>
      </c>
      <c r="J79">
        <v>1</v>
      </c>
    </row>
    <row r="80" spans="1:10" x14ac:dyDescent="0.3">
      <c r="A80">
        <v>76</v>
      </c>
      <c r="B80" t="s">
        <v>202</v>
      </c>
      <c r="C80" s="1" t="s">
        <v>203</v>
      </c>
      <c r="D80" t="s">
        <v>81</v>
      </c>
      <c r="E80" t="s">
        <v>204</v>
      </c>
      <c r="G80">
        <v>111</v>
      </c>
      <c r="H80">
        <v>100</v>
      </c>
      <c r="I80">
        <v>11</v>
      </c>
      <c r="J80">
        <v>0</v>
      </c>
    </row>
    <row r="81" spans="1:10" x14ac:dyDescent="0.3">
      <c r="A81">
        <v>80</v>
      </c>
      <c r="B81" t="s">
        <v>566</v>
      </c>
      <c r="C81" s="1" t="s">
        <v>567</v>
      </c>
      <c r="D81" t="s">
        <v>568</v>
      </c>
      <c r="E81" t="s">
        <v>569</v>
      </c>
      <c r="G81">
        <v>110</v>
      </c>
      <c r="H81">
        <v>100</v>
      </c>
      <c r="I81">
        <v>10</v>
      </c>
      <c r="J81">
        <v>0</v>
      </c>
    </row>
    <row r="82" spans="1:10" x14ac:dyDescent="0.3">
      <c r="A82">
        <v>80</v>
      </c>
      <c r="B82" t="s">
        <v>183</v>
      </c>
      <c r="C82" s="1" t="s">
        <v>184</v>
      </c>
      <c r="D82" t="s">
        <v>104</v>
      </c>
      <c r="E82" t="s">
        <v>185</v>
      </c>
      <c r="G82">
        <v>110</v>
      </c>
      <c r="H82">
        <v>100</v>
      </c>
      <c r="I82">
        <v>10</v>
      </c>
      <c r="J82">
        <v>0</v>
      </c>
    </row>
    <row r="83" spans="1:10" x14ac:dyDescent="0.3">
      <c r="A83">
        <v>80</v>
      </c>
      <c r="B83" t="s">
        <v>274</v>
      </c>
      <c r="C83" s="1" t="s">
        <v>275</v>
      </c>
      <c r="D83" t="s">
        <v>60</v>
      </c>
      <c r="E83" t="s">
        <v>276</v>
      </c>
      <c r="G83">
        <v>110</v>
      </c>
      <c r="H83">
        <v>100</v>
      </c>
      <c r="I83">
        <v>10</v>
      </c>
      <c r="J83">
        <v>0</v>
      </c>
    </row>
    <row r="84" spans="1:10" x14ac:dyDescent="0.3">
      <c r="A84">
        <v>80</v>
      </c>
      <c r="B84" t="s">
        <v>543</v>
      </c>
      <c r="C84" s="1" t="s">
        <v>544</v>
      </c>
      <c r="D84" t="s">
        <v>191</v>
      </c>
      <c r="E84" t="s">
        <v>545</v>
      </c>
      <c r="G84">
        <v>110</v>
      </c>
      <c r="H84">
        <v>10</v>
      </c>
      <c r="I84">
        <v>100</v>
      </c>
      <c r="J84">
        <v>0</v>
      </c>
    </row>
    <row r="85" spans="1:10" x14ac:dyDescent="0.3">
      <c r="A85">
        <v>80</v>
      </c>
      <c r="B85" t="s">
        <v>459</v>
      </c>
      <c r="C85" s="1" t="s">
        <v>460</v>
      </c>
      <c r="D85" t="s">
        <v>461</v>
      </c>
      <c r="E85" t="s">
        <v>462</v>
      </c>
      <c r="G85">
        <v>110</v>
      </c>
      <c r="H85">
        <v>100</v>
      </c>
      <c r="I85">
        <v>10</v>
      </c>
      <c r="J85">
        <v>0</v>
      </c>
    </row>
    <row r="86" spans="1:10" x14ac:dyDescent="0.3">
      <c r="A86">
        <v>85</v>
      </c>
      <c r="B86" t="s">
        <v>176</v>
      </c>
      <c r="C86" s="1" t="s">
        <v>177</v>
      </c>
      <c r="D86" t="s">
        <v>178</v>
      </c>
      <c r="E86" t="s">
        <v>179</v>
      </c>
      <c r="G86">
        <v>105</v>
      </c>
      <c r="H86">
        <v>100</v>
      </c>
      <c r="I86">
        <v>0</v>
      </c>
      <c r="J86">
        <v>5</v>
      </c>
    </row>
    <row r="87" spans="1:10" x14ac:dyDescent="0.3">
      <c r="A87">
        <v>85</v>
      </c>
      <c r="B87" t="s">
        <v>466</v>
      </c>
      <c r="C87" s="1" t="s">
        <v>467</v>
      </c>
      <c r="D87" t="s">
        <v>48</v>
      </c>
      <c r="E87" t="s">
        <v>468</v>
      </c>
      <c r="G87">
        <v>105</v>
      </c>
      <c r="H87">
        <v>100</v>
      </c>
      <c r="I87">
        <v>0</v>
      </c>
      <c r="J87">
        <v>5</v>
      </c>
    </row>
    <row r="88" spans="1:10" x14ac:dyDescent="0.3">
      <c r="A88">
        <v>85</v>
      </c>
      <c r="B88" t="s">
        <v>249</v>
      </c>
      <c r="C88" s="1" t="s">
        <v>250</v>
      </c>
      <c r="D88" t="s">
        <v>191</v>
      </c>
      <c r="E88" t="s">
        <v>251</v>
      </c>
      <c r="G88">
        <v>105</v>
      </c>
      <c r="H88">
        <v>100</v>
      </c>
      <c r="I88">
        <v>0</v>
      </c>
      <c r="J88">
        <v>5</v>
      </c>
    </row>
    <row r="89" spans="1:10" x14ac:dyDescent="0.3">
      <c r="A89">
        <v>85</v>
      </c>
      <c r="B89" t="s">
        <v>526</v>
      </c>
      <c r="C89" s="1" t="s">
        <v>527</v>
      </c>
      <c r="D89" t="s">
        <v>81</v>
      </c>
      <c r="E89" t="s">
        <v>528</v>
      </c>
      <c r="G89">
        <v>105</v>
      </c>
      <c r="H89">
        <v>100</v>
      </c>
      <c r="I89">
        <v>0</v>
      </c>
      <c r="J89">
        <v>5</v>
      </c>
    </row>
    <row r="90" spans="1:10" x14ac:dyDescent="0.3">
      <c r="A90">
        <v>85</v>
      </c>
      <c r="B90" t="s">
        <v>186</v>
      </c>
      <c r="C90" s="1" t="s">
        <v>187</v>
      </c>
      <c r="D90" t="s">
        <v>81</v>
      </c>
      <c r="E90" t="s">
        <v>188</v>
      </c>
      <c r="G90">
        <v>105</v>
      </c>
      <c r="H90">
        <v>100</v>
      </c>
      <c r="I90">
        <v>0</v>
      </c>
      <c r="J90">
        <v>5</v>
      </c>
    </row>
    <row r="91" spans="1:10" x14ac:dyDescent="0.3">
      <c r="A91">
        <v>90</v>
      </c>
      <c r="B91" t="s">
        <v>149</v>
      </c>
      <c r="C91" s="1" t="s">
        <v>150</v>
      </c>
      <c r="D91" t="s">
        <v>151</v>
      </c>
      <c r="E91" t="s">
        <v>152</v>
      </c>
      <c r="G91">
        <v>101</v>
      </c>
      <c r="H91">
        <v>100</v>
      </c>
      <c r="I91">
        <v>0</v>
      </c>
      <c r="J91">
        <v>1</v>
      </c>
    </row>
    <row r="92" spans="1:10" x14ac:dyDescent="0.3">
      <c r="A92">
        <v>90</v>
      </c>
      <c r="B92" t="s">
        <v>307</v>
      </c>
      <c r="C92" s="1" t="s">
        <v>308</v>
      </c>
      <c r="D92" t="s">
        <v>52</v>
      </c>
      <c r="E92" t="s">
        <v>309</v>
      </c>
      <c r="G92">
        <v>101</v>
      </c>
      <c r="H92">
        <v>100</v>
      </c>
      <c r="I92">
        <v>0</v>
      </c>
      <c r="J92">
        <v>1</v>
      </c>
    </row>
    <row r="93" spans="1:10" x14ac:dyDescent="0.3">
      <c r="A93">
        <v>90</v>
      </c>
      <c r="B93" t="s">
        <v>491</v>
      </c>
      <c r="C93" s="1" t="s">
        <v>492</v>
      </c>
      <c r="D93" t="s">
        <v>178</v>
      </c>
      <c r="E93" t="s">
        <v>493</v>
      </c>
      <c r="G93">
        <v>101</v>
      </c>
      <c r="H93">
        <v>100</v>
      </c>
      <c r="I93">
        <v>0</v>
      </c>
      <c r="J93">
        <v>1</v>
      </c>
    </row>
    <row r="94" spans="1:10" x14ac:dyDescent="0.3">
      <c r="A94">
        <v>90</v>
      </c>
      <c r="B94" t="s">
        <v>237</v>
      </c>
      <c r="C94" s="1" t="s">
        <v>238</v>
      </c>
      <c r="D94" t="s">
        <v>216</v>
      </c>
      <c r="E94" t="s">
        <v>239</v>
      </c>
      <c r="G94">
        <v>101</v>
      </c>
      <c r="H94">
        <v>100</v>
      </c>
      <c r="I94">
        <v>0</v>
      </c>
      <c r="J94">
        <v>1</v>
      </c>
    </row>
    <row r="95" spans="1:10" x14ac:dyDescent="0.3">
      <c r="A95">
        <v>90</v>
      </c>
      <c r="B95" t="s">
        <v>523</v>
      </c>
      <c r="C95" s="1" t="s">
        <v>524</v>
      </c>
      <c r="D95" t="s">
        <v>89</v>
      </c>
      <c r="E95" t="s">
        <v>525</v>
      </c>
      <c r="G95">
        <v>101</v>
      </c>
      <c r="H95">
        <v>100</v>
      </c>
      <c r="I95">
        <v>0</v>
      </c>
      <c r="J95">
        <v>1</v>
      </c>
    </row>
    <row r="96" spans="1:10" x14ac:dyDescent="0.3">
      <c r="A96">
        <v>90</v>
      </c>
      <c r="B96" t="s">
        <v>488</v>
      </c>
      <c r="C96" s="1" t="s">
        <v>489</v>
      </c>
      <c r="D96" t="s">
        <v>362</v>
      </c>
      <c r="E96" t="s">
        <v>490</v>
      </c>
      <c r="G96">
        <v>101</v>
      </c>
      <c r="H96">
        <v>100</v>
      </c>
      <c r="I96">
        <v>0</v>
      </c>
      <c r="J96">
        <v>1</v>
      </c>
    </row>
    <row r="97" spans="1:10" x14ac:dyDescent="0.3">
      <c r="A97">
        <v>90</v>
      </c>
      <c r="B97" t="s">
        <v>453</v>
      </c>
      <c r="C97" s="1" t="s">
        <v>454</v>
      </c>
      <c r="D97" t="s">
        <v>81</v>
      </c>
      <c r="E97" t="s">
        <v>455</v>
      </c>
      <c r="G97">
        <v>101</v>
      </c>
      <c r="H97">
        <v>100</v>
      </c>
      <c r="I97">
        <v>0</v>
      </c>
      <c r="J97">
        <v>1</v>
      </c>
    </row>
    <row r="98" spans="1:10" x14ac:dyDescent="0.3">
      <c r="A98">
        <v>97</v>
      </c>
      <c r="B98" t="s">
        <v>351</v>
      </c>
      <c r="C98" s="1" t="s">
        <v>352</v>
      </c>
      <c r="D98" t="s">
        <v>178</v>
      </c>
      <c r="E98" t="s">
        <v>353</v>
      </c>
      <c r="G98">
        <v>100</v>
      </c>
      <c r="H98">
        <v>60</v>
      </c>
      <c r="I98">
        <v>35</v>
      </c>
      <c r="J98">
        <v>5</v>
      </c>
    </row>
    <row r="99" spans="1:10" x14ac:dyDescent="0.3">
      <c r="A99">
        <v>97</v>
      </c>
      <c r="B99" t="s">
        <v>240</v>
      </c>
      <c r="C99" s="1" t="s">
        <v>241</v>
      </c>
      <c r="D99" t="s">
        <v>108</v>
      </c>
      <c r="E99" t="s">
        <v>242</v>
      </c>
      <c r="G99">
        <v>100</v>
      </c>
      <c r="H99">
        <v>100</v>
      </c>
      <c r="I99">
        <v>0</v>
      </c>
      <c r="J99">
        <v>0</v>
      </c>
    </row>
    <row r="100" spans="1:10" x14ac:dyDescent="0.3">
      <c r="A100">
        <v>97</v>
      </c>
      <c r="B100" t="s">
        <v>252</v>
      </c>
      <c r="C100" s="1" t="s">
        <v>253</v>
      </c>
      <c r="D100" t="s">
        <v>254</v>
      </c>
      <c r="E100" t="s">
        <v>255</v>
      </c>
      <c r="F100" t="s">
        <v>252</v>
      </c>
      <c r="G100">
        <v>100</v>
      </c>
      <c r="H100">
        <v>100</v>
      </c>
      <c r="I100">
        <v>0</v>
      </c>
      <c r="J100">
        <v>0</v>
      </c>
    </row>
    <row r="101" spans="1:10" x14ac:dyDescent="0.3">
      <c r="A101">
        <v>97</v>
      </c>
      <c r="B101" t="s">
        <v>313</v>
      </c>
      <c r="C101" s="1" t="s">
        <v>314</v>
      </c>
      <c r="D101" t="s">
        <v>315</v>
      </c>
      <c r="E101" t="s">
        <v>316</v>
      </c>
      <c r="G101">
        <v>100</v>
      </c>
      <c r="H101">
        <v>100</v>
      </c>
      <c r="I101">
        <v>0</v>
      </c>
      <c r="J101">
        <v>0</v>
      </c>
    </row>
    <row r="102" spans="1:10" x14ac:dyDescent="0.3">
      <c r="A102">
        <v>97</v>
      </c>
      <c r="B102" t="s">
        <v>153</v>
      </c>
      <c r="C102" s="1" t="s">
        <v>154</v>
      </c>
      <c r="D102" t="s">
        <v>155</v>
      </c>
      <c r="E102" t="s">
        <v>156</v>
      </c>
      <c r="G102">
        <v>100</v>
      </c>
      <c r="H102">
        <v>100</v>
      </c>
      <c r="I102">
        <v>0</v>
      </c>
      <c r="J102">
        <v>0</v>
      </c>
    </row>
    <row r="103" spans="1:10" x14ac:dyDescent="0.3">
      <c r="A103">
        <v>97</v>
      </c>
      <c r="B103" t="s">
        <v>482</v>
      </c>
      <c r="C103" s="1" t="s">
        <v>483</v>
      </c>
      <c r="D103" t="s">
        <v>24</v>
      </c>
      <c r="E103" t="s">
        <v>484</v>
      </c>
      <c r="G103">
        <v>100</v>
      </c>
      <c r="H103">
        <v>100</v>
      </c>
      <c r="I103">
        <v>0</v>
      </c>
      <c r="J103">
        <v>0</v>
      </c>
    </row>
    <row r="104" spans="1:10" x14ac:dyDescent="0.3">
      <c r="A104">
        <v>97</v>
      </c>
      <c r="B104" t="s">
        <v>263</v>
      </c>
      <c r="C104" s="1" t="s">
        <v>264</v>
      </c>
      <c r="D104" t="s">
        <v>147</v>
      </c>
      <c r="E104" t="s">
        <v>265</v>
      </c>
      <c r="G104">
        <v>100</v>
      </c>
      <c r="H104">
        <v>100</v>
      </c>
      <c r="I104">
        <v>0</v>
      </c>
      <c r="J104">
        <v>0</v>
      </c>
    </row>
    <row r="105" spans="1:10" x14ac:dyDescent="0.3">
      <c r="A105">
        <v>97</v>
      </c>
      <c r="B105" t="s">
        <v>433</v>
      </c>
      <c r="C105" s="1" t="s">
        <v>434</v>
      </c>
      <c r="D105" t="s">
        <v>81</v>
      </c>
      <c r="E105" t="s">
        <v>435</v>
      </c>
      <c r="G105">
        <v>100</v>
      </c>
      <c r="H105">
        <v>100</v>
      </c>
      <c r="I105">
        <v>0</v>
      </c>
      <c r="J105">
        <v>0</v>
      </c>
    </row>
    <row r="106" spans="1:10" x14ac:dyDescent="0.3">
      <c r="A106">
        <v>97</v>
      </c>
      <c r="B106" t="s">
        <v>463</v>
      </c>
      <c r="C106" s="1" t="s">
        <v>464</v>
      </c>
      <c r="D106" t="s">
        <v>191</v>
      </c>
      <c r="E106" t="s">
        <v>465</v>
      </c>
      <c r="G106">
        <v>100</v>
      </c>
      <c r="H106">
        <v>100</v>
      </c>
      <c r="I106">
        <v>0</v>
      </c>
      <c r="J106">
        <v>0</v>
      </c>
    </row>
    <row r="107" spans="1:10" x14ac:dyDescent="0.3">
      <c r="A107">
        <v>97</v>
      </c>
      <c r="B107" t="s">
        <v>157</v>
      </c>
      <c r="C107" s="1" t="s">
        <v>158</v>
      </c>
      <c r="D107" t="s">
        <v>81</v>
      </c>
      <c r="E107" t="s">
        <v>159</v>
      </c>
      <c r="G107">
        <v>100</v>
      </c>
      <c r="H107">
        <v>100</v>
      </c>
      <c r="I107">
        <v>0</v>
      </c>
      <c r="J107">
        <v>0</v>
      </c>
    </row>
    <row r="108" spans="1:10" x14ac:dyDescent="0.3">
      <c r="A108">
        <v>97</v>
      </c>
      <c r="B108" t="s">
        <v>196</v>
      </c>
      <c r="C108" s="1" t="s">
        <v>197</v>
      </c>
      <c r="D108" t="s">
        <v>20</v>
      </c>
      <c r="E108" t="s">
        <v>198</v>
      </c>
      <c r="G108">
        <v>100</v>
      </c>
      <c r="H108">
        <v>100</v>
      </c>
      <c r="I108">
        <v>0</v>
      </c>
      <c r="J108">
        <v>0</v>
      </c>
    </row>
    <row r="109" spans="1:10" x14ac:dyDescent="0.3">
      <c r="A109">
        <v>97</v>
      </c>
      <c r="B109" t="s">
        <v>479</v>
      </c>
      <c r="C109" s="1" t="s">
        <v>480</v>
      </c>
      <c r="D109" t="s">
        <v>81</v>
      </c>
      <c r="E109" t="s">
        <v>481</v>
      </c>
      <c r="G109">
        <v>100</v>
      </c>
      <c r="H109">
        <v>100</v>
      </c>
      <c r="I109">
        <v>0</v>
      </c>
      <c r="J109">
        <v>0</v>
      </c>
    </row>
    <row r="110" spans="1:10" x14ac:dyDescent="0.3">
      <c r="A110">
        <v>97</v>
      </c>
      <c r="B110" t="s">
        <v>269</v>
      </c>
      <c r="C110" s="1" t="s">
        <v>270</v>
      </c>
      <c r="D110" t="s">
        <v>81</v>
      </c>
      <c r="E110" t="s">
        <v>271</v>
      </c>
      <c r="G110">
        <v>100</v>
      </c>
      <c r="H110">
        <v>100</v>
      </c>
      <c r="I110">
        <v>0</v>
      </c>
      <c r="J110">
        <v>0</v>
      </c>
    </row>
    <row r="111" spans="1:10" x14ac:dyDescent="0.3">
      <c r="A111">
        <v>110</v>
      </c>
      <c r="B111" t="s">
        <v>329</v>
      </c>
      <c r="C111" s="1" t="s">
        <v>330</v>
      </c>
      <c r="D111" t="s">
        <v>216</v>
      </c>
      <c r="E111" t="s">
        <v>331</v>
      </c>
      <c r="G111">
        <v>93</v>
      </c>
      <c r="H111">
        <v>60</v>
      </c>
      <c r="I111">
        <v>11</v>
      </c>
      <c r="J111">
        <v>22</v>
      </c>
    </row>
    <row r="112" spans="1:10" x14ac:dyDescent="0.3">
      <c r="A112">
        <v>110</v>
      </c>
      <c r="B112" t="s">
        <v>354</v>
      </c>
      <c r="C112" s="1" t="s">
        <v>355</v>
      </c>
      <c r="D112" t="s">
        <v>223</v>
      </c>
      <c r="E112" t="s">
        <v>356</v>
      </c>
      <c r="G112">
        <v>93</v>
      </c>
      <c r="H112">
        <v>60</v>
      </c>
      <c r="I112">
        <v>11</v>
      </c>
      <c r="J112">
        <v>22</v>
      </c>
    </row>
    <row r="113" spans="1:10" x14ac:dyDescent="0.3">
      <c r="A113">
        <v>112</v>
      </c>
      <c r="B113" t="s">
        <v>427</v>
      </c>
      <c r="C113" s="1" t="s">
        <v>428</v>
      </c>
      <c r="D113" t="s">
        <v>254</v>
      </c>
      <c r="E113" t="s">
        <v>429</v>
      </c>
      <c r="G113">
        <v>92</v>
      </c>
      <c r="H113">
        <v>60</v>
      </c>
      <c r="I113">
        <v>10</v>
      </c>
      <c r="J113">
        <v>22</v>
      </c>
    </row>
    <row r="114" spans="1:10" x14ac:dyDescent="0.3">
      <c r="A114">
        <v>113</v>
      </c>
      <c r="B114" t="s">
        <v>280</v>
      </c>
      <c r="C114" s="1" t="s">
        <v>281</v>
      </c>
      <c r="D114" t="s">
        <v>282</v>
      </c>
      <c r="E114" t="s">
        <v>283</v>
      </c>
      <c r="G114">
        <v>83</v>
      </c>
      <c r="H114">
        <v>60</v>
      </c>
      <c r="I114">
        <v>11</v>
      </c>
      <c r="J114">
        <v>12</v>
      </c>
    </row>
    <row r="115" spans="1:10" x14ac:dyDescent="0.3">
      <c r="A115">
        <v>114</v>
      </c>
      <c r="B115" t="s">
        <v>299</v>
      </c>
      <c r="C115" s="1" t="s">
        <v>300</v>
      </c>
      <c r="D115" t="s">
        <v>301</v>
      </c>
      <c r="E115" t="s">
        <v>302</v>
      </c>
      <c r="G115">
        <v>82</v>
      </c>
      <c r="H115">
        <v>60</v>
      </c>
      <c r="I115">
        <v>0</v>
      </c>
      <c r="J115">
        <v>22</v>
      </c>
    </row>
    <row r="116" spans="1:10" x14ac:dyDescent="0.3">
      <c r="A116">
        <v>114</v>
      </c>
      <c r="B116" t="s">
        <v>211</v>
      </c>
      <c r="C116" s="1" t="s">
        <v>212</v>
      </c>
      <c r="D116" t="s">
        <v>147</v>
      </c>
      <c r="E116" t="s">
        <v>213</v>
      </c>
      <c r="G116">
        <v>82</v>
      </c>
      <c r="H116">
        <v>60</v>
      </c>
      <c r="I116">
        <v>10</v>
      </c>
      <c r="J116">
        <v>12</v>
      </c>
    </row>
    <row r="117" spans="1:10" x14ac:dyDescent="0.3">
      <c r="A117">
        <v>116</v>
      </c>
      <c r="B117" t="s">
        <v>563</v>
      </c>
      <c r="C117" s="1" t="s">
        <v>564</v>
      </c>
      <c r="D117" t="s">
        <v>216</v>
      </c>
      <c r="E117" t="s">
        <v>565</v>
      </c>
      <c r="G117">
        <v>76</v>
      </c>
      <c r="H117">
        <v>60</v>
      </c>
      <c r="I117">
        <v>11</v>
      </c>
      <c r="J117">
        <v>5</v>
      </c>
    </row>
    <row r="118" spans="1:10" x14ac:dyDescent="0.3">
      <c r="A118">
        <v>117</v>
      </c>
      <c r="B118" t="s">
        <v>500</v>
      </c>
      <c r="C118" s="1" t="s">
        <v>501</v>
      </c>
      <c r="D118" t="s">
        <v>502</v>
      </c>
      <c r="E118" t="s">
        <v>503</v>
      </c>
      <c r="G118">
        <v>72</v>
      </c>
      <c r="H118">
        <v>60</v>
      </c>
      <c r="I118">
        <v>11</v>
      </c>
      <c r="J118">
        <v>1</v>
      </c>
    </row>
    <row r="119" spans="1:10" x14ac:dyDescent="0.3">
      <c r="A119">
        <v>117</v>
      </c>
      <c r="B119" t="s">
        <v>341</v>
      </c>
      <c r="C119" s="1" t="s">
        <v>342</v>
      </c>
      <c r="D119" t="s">
        <v>147</v>
      </c>
      <c r="E119" t="s">
        <v>343</v>
      </c>
      <c r="G119">
        <v>72</v>
      </c>
      <c r="H119">
        <v>60</v>
      </c>
      <c r="I119">
        <v>11</v>
      </c>
      <c r="J119">
        <v>1</v>
      </c>
    </row>
    <row r="120" spans="1:10" x14ac:dyDescent="0.3">
      <c r="A120">
        <v>117</v>
      </c>
      <c r="B120" t="s">
        <v>440</v>
      </c>
      <c r="C120" s="1" t="s">
        <v>441</v>
      </c>
      <c r="D120" t="s">
        <v>442</v>
      </c>
      <c r="E120" t="s">
        <v>443</v>
      </c>
      <c r="G120">
        <v>72</v>
      </c>
      <c r="H120">
        <v>60</v>
      </c>
      <c r="I120">
        <v>11</v>
      </c>
      <c r="J120">
        <v>1</v>
      </c>
    </row>
    <row r="121" spans="1:10" x14ac:dyDescent="0.3">
      <c r="A121">
        <v>117</v>
      </c>
      <c r="B121" t="s">
        <v>394</v>
      </c>
      <c r="C121" s="1" t="s">
        <v>395</v>
      </c>
      <c r="D121" t="s">
        <v>178</v>
      </c>
      <c r="E121" t="s">
        <v>396</v>
      </c>
      <c r="G121">
        <v>72</v>
      </c>
      <c r="H121">
        <v>60</v>
      </c>
      <c r="I121">
        <v>11</v>
      </c>
      <c r="J121">
        <v>1</v>
      </c>
    </row>
    <row r="122" spans="1:10" x14ac:dyDescent="0.3">
      <c r="A122">
        <v>117</v>
      </c>
      <c r="B122" t="s">
        <v>214</v>
      </c>
      <c r="C122" s="1" t="s">
        <v>215</v>
      </c>
      <c r="D122" t="s">
        <v>216</v>
      </c>
      <c r="E122" t="s">
        <v>217</v>
      </c>
      <c r="G122">
        <v>72</v>
      </c>
      <c r="H122">
        <v>60</v>
      </c>
      <c r="I122">
        <v>11</v>
      </c>
      <c r="J122">
        <v>1</v>
      </c>
    </row>
    <row r="123" spans="1:10" x14ac:dyDescent="0.3">
      <c r="A123">
        <v>117</v>
      </c>
      <c r="B123" t="s">
        <v>420</v>
      </c>
      <c r="C123" s="1" t="s">
        <v>421</v>
      </c>
      <c r="D123" t="s">
        <v>305</v>
      </c>
      <c r="E123" t="s">
        <v>422</v>
      </c>
      <c r="G123">
        <v>72</v>
      </c>
      <c r="H123">
        <v>60</v>
      </c>
      <c r="I123">
        <v>11</v>
      </c>
      <c r="J123">
        <v>1</v>
      </c>
    </row>
    <row r="124" spans="1:10" x14ac:dyDescent="0.3">
      <c r="A124">
        <v>117</v>
      </c>
      <c r="B124" t="s">
        <v>303</v>
      </c>
      <c r="C124" s="1" t="s">
        <v>304</v>
      </c>
      <c r="D124" t="s">
        <v>305</v>
      </c>
      <c r="E124" t="s">
        <v>306</v>
      </c>
      <c r="G124">
        <v>72</v>
      </c>
      <c r="H124">
        <v>60</v>
      </c>
      <c r="I124">
        <v>11</v>
      </c>
      <c r="J124">
        <v>1</v>
      </c>
    </row>
    <row r="125" spans="1:10" x14ac:dyDescent="0.3">
      <c r="A125">
        <v>124</v>
      </c>
      <c r="B125" t="s">
        <v>403</v>
      </c>
      <c r="C125" s="1" t="s">
        <v>404</v>
      </c>
      <c r="D125" t="s">
        <v>28</v>
      </c>
      <c r="E125" t="s">
        <v>405</v>
      </c>
      <c r="G125">
        <v>71</v>
      </c>
      <c r="H125">
        <v>60</v>
      </c>
      <c r="I125">
        <v>10</v>
      </c>
      <c r="J125">
        <v>1</v>
      </c>
    </row>
    <row r="126" spans="1:10" x14ac:dyDescent="0.3">
      <c r="A126">
        <v>124</v>
      </c>
      <c r="B126" t="s">
        <v>317</v>
      </c>
      <c r="C126" s="1" t="s">
        <v>318</v>
      </c>
      <c r="D126" t="s">
        <v>178</v>
      </c>
      <c r="E126" t="s">
        <v>319</v>
      </c>
      <c r="G126">
        <v>71</v>
      </c>
      <c r="H126">
        <v>60</v>
      </c>
      <c r="I126">
        <v>11</v>
      </c>
      <c r="J126">
        <v>0</v>
      </c>
    </row>
    <row r="127" spans="1:10" x14ac:dyDescent="0.3">
      <c r="A127">
        <v>124</v>
      </c>
      <c r="B127" t="s">
        <v>447</v>
      </c>
      <c r="C127" s="1" t="s">
        <v>448</v>
      </c>
      <c r="D127" t="s">
        <v>81</v>
      </c>
      <c r="E127" t="s">
        <v>449</v>
      </c>
      <c r="G127">
        <v>71</v>
      </c>
      <c r="H127">
        <v>60</v>
      </c>
      <c r="I127">
        <v>11</v>
      </c>
      <c r="J127">
        <v>0</v>
      </c>
    </row>
    <row r="128" spans="1:10" x14ac:dyDescent="0.3">
      <c r="A128">
        <v>124</v>
      </c>
      <c r="B128" t="s">
        <v>553</v>
      </c>
      <c r="C128" s="1" t="s">
        <v>554</v>
      </c>
      <c r="D128" t="s">
        <v>555</v>
      </c>
      <c r="E128" t="s">
        <v>556</v>
      </c>
      <c r="G128">
        <v>71</v>
      </c>
      <c r="H128">
        <v>60</v>
      </c>
      <c r="I128">
        <v>10</v>
      </c>
      <c r="J128">
        <v>1</v>
      </c>
    </row>
    <row r="129" spans="1:10" x14ac:dyDescent="0.3">
      <c r="A129">
        <v>124</v>
      </c>
      <c r="B129" t="s">
        <v>560</v>
      </c>
      <c r="C129" s="1" t="s">
        <v>561</v>
      </c>
      <c r="D129" t="s">
        <v>216</v>
      </c>
      <c r="E129" t="s">
        <v>562</v>
      </c>
      <c r="G129">
        <v>71</v>
      </c>
      <c r="H129">
        <v>60</v>
      </c>
      <c r="I129">
        <v>10</v>
      </c>
      <c r="J129">
        <v>1</v>
      </c>
    </row>
    <row r="130" spans="1:10" x14ac:dyDescent="0.3">
      <c r="A130">
        <v>129</v>
      </c>
      <c r="B130" t="s">
        <v>110</v>
      </c>
      <c r="C130" s="1" t="s">
        <v>111</v>
      </c>
      <c r="D130" t="s">
        <v>96</v>
      </c>
      <c r="E130" t="s">
        <v>112</v>
      </c>
      <c r="G130">
        <v>70</v>
      </c>
      <c r="H130">
        <v>60</v>
      </c>
      <c r="I130">
        <v>10</v>
      </c>
      <c r="J130">
        <v>0</v>
      </c>
    </row>
    <row r="131" spans="1:10" x14ac:dyDescent="0.3">
      <c r="A131">
        <v>130</v>
      </c>
      <c r="B131" t="s">
        <v>367</v>
      </c>
      <c r="C131" s="1" t="s">
        <v>368</v>
      </c>
      <c r="D131" t="s">
        <v>369</v>
      </c>
      <c r="E131" t="s">
        <v>370</v>
      </c>
      <c r="G131">
        <v>65</v>
      </c>
      <c r="H131">
        <v>60</v>
      </c>
      <c r="I131">
        <v>0</v>
      </c>
      <c r="J131">
        <v>5</v>
      </c>
    </row>
    <row r="132" spans="1:10" x14ac:dyDescent="0.3">
      <c r="A132">
        <v>130</v>
      </c>
      <c r="B132" t="s">
        <v>91</v>
      </c>
      <c r="C132" s="1" t="s">
        <v>92</v>
      </c>
      <c r="D132" t="s">
        <v>12</v>
      </c>
      <c r="E132" t="s">
        <v>93</v>
      </c>
      <c r="G132">
        <v>65</v>
      </c>
      <c r="H132">
        <v>60</v>
      </c>
      <c r="I132">
        <v>0</v>
      </c>
      <c r="J132">
        <v>5</v>
      </c>
    </row>
    <row r="133" spans="1:10" x14ac:dyDescent="0.3">
      <c r="A133">
        <v>130</v>
      </c>
      <c r="B133" t="s">
        <v>323</v>
      </c>
      <c r="C133" s="1" t="s">
        <v>324</v>
      </c>
      <c r="D133" t="s">
        <v>178</v>
      </c>
      <c r="E133" t="s">
        <v>325</v>
      </c>
      <c r="G133">
        <v>65</v>
      </c>
      <c r="H133">
        <v>60</v>
      </c>
      <c r="I133">
        <v>0</v>
      </c>
      <c r="J133">
        <v>5</v>
      </c>
    </row>
    <row r="134" spans="1:10" x14ac:dyDescent="0.3">
      <c r="A134">
        <v>133</v>
      </c>
      <c r="B134" t="s">
        <v>377</v>
      </c>
      <c r="C134" s="1" t="s">
        <v>378</v>
      </c>
      <c r="D134" t="s">
        <v>379</v>
      </c>
      <c r="E134" t="s">
        <v>380</v>
      </c>
      <c r="G134">
        <v>61</v>
      </c>
      <c r="H134">
        <v>60</v>
      </c>
      <c r="I134">
        <v>0</v>
      </c>
      <c r="J134">
        <v>1</v>
      </c>
    </row>
    <row r="135" spans="1:10" x14ac:dyDescent="0.3">
      <c r="A135">
        <v>133</v>
      </c>
      <c r="B135" t="s">
        <v>409</v>
      </c>
      <c r="C135" s="1" t="s">
        <v>410</v>
      </c>
      <c r="D135" t="s">
        <v>16</v>
      </c>
      <c r="E135" t="s">
        <v>411</v>
      </c>
      <c r="G135">
        <v>61</v>
      </c>
      <c r="H135">
        <v>50</v>
      </c>
      <c r="I135">
        <v>10</v>
      </c>
      <c r="J135">
        <v>1</v>
      </c>
    </row>
    <row r="136" spans="1:10" x14ac:dyDescent="0.3">
      <c r="A136">
        <v>133</v>
      </c>
      <c r="B136" t="s">
        <v>494</v>
      </c>
      <c r="C136" s="1" t="s">
        <v>495</v>
      </c>
      <c r="D136" t="s">
        <v>178</v>
      </c>
      <c r="E136" t="s">
        <v>496</v>
      </c>
      <c r="G136">
        <v>61</v>
      </c>
      <c r="H136">
        <v>60</v>
      </c>
      <c r="I136">
        <v>0</v>
      </c>
      <c r="J136">
        <v>1</v>
      </c>
    </row>
    <row r="137" spans="1:10" x14ac:dyDescent="0.3">
      <c r="A137">
        <v>133</v>
      </c>
      <c r="B137" t="s">
        <v>550</v>
      </c>
      <c r="C137" s="1" t="s">
        <v>551</v>
      </c>
      <c r="D137" t="s">
        <v>223</v>
      </c>
      <c r="E137" t="s">
        <v>552</v>
      </c>
      <c r="G137">
        <v>61</v>
      </c>
      <c r="H137">
        <v>60</v>
      </c>
      <c r="I137">
        <v>0</v>
      </c>
      <c r="J137">
        <v>1</v>
      </c>
    </row>
    <row r="138" spans="1:10" x14ac:dyDescent="0.3">
      <c r="A138">
        <v>133</v>
      </c>
      <c r="B138" t="s">
        <v>266</v>
      </c>
      <c r="C138" s="1" t="s">
        <v>267</v>
      </c>
      <c r="D138" t="s">
        <v>178</v>
      </c>
      <c r="E138" t="s">
        <v>268</v>
      </c>
      <c r="G138">
        <v>61</v>
      </c>
      <c r="H138">
        <v>60</v>
      </c>
      <c r="I138">
        <v>0</v>
      </c>
      <c r="J138">
        <v>1</v>
      </c>
    </row>
    <row r="139" spans="1:10" x14ac:dyDescent="0.3">
      <c r="A139">
        <v>138</v>
      </c>
      <c r="B139" t="s">
        <v>416</v>
      </c>
      <c r="C139" s="1" t="s">
        <v>417</v>
      </c>
      <c r="D139" t="s">
        <v>418</v>
      </c>
      <c r="E139" t="s">
        <v>419</v>
      </c>
      <c r="G139">
        <v>60</v>
      </c>
      <c r="H139">
        <v>60</v>
      </c>
      <c r="I139">
        <v>0</v>
      </c>
      <c r="J139">
        <v>0</v>
      </c>
    </row>
    <row r="140" spans="1:10" x14ac:dyDescent="0.3">
      <c r="A140">
        <v>138</v>
      </c>
      <c r="B140" t="s">
        <v>320</v>
      </c>
      <c r="C140" s="1" t="s">
        <v>321</v>
      </c>
      <c r="D140" t="s">
        <v>52</v>
      </c>
      <c r="E140" t="s">
        <v>322</v>
      </c>
      <c r="G140">
        <v>60</v>
      </c>
      <c r="H140">
        <v>60</v>
      </c>
      <c r="I140">
        <v>0</v>
      </c>
      <c r="J140">
        <v>0</v>
      </c>
    </row>
    <row r="141" spans="1:10" x14ac:dyDescent="0.3">
      <c r="A141">
        <v>138</v>
      </c>
      <c r="B141" t="s">
        <v>557</v>
      </c>
      <c r="C141" s="1" t="s">
        <v>558</v>
      </c>
      <c r="D141" t="s">
        <v>216</v>
      </c>
      <c r="E141" t="s">
        <v>559</v>
      </c>
      <c r="G141">
        <v>60</v>
      </c>
      <c r="H141">
        <v>60</v>
      </c>
      <c r="I141">
        <v>0</v>
      </c>
      <c r="J141">
        <v>0</v>
      </c>
    </row>
    <row r="142" spans="1:10" x14ac:dyDescent="0.3">
      <c r="A142">
        <v>141</v>
      </c>
      <c r="B142" t="s">
        <v>371</v>
      </c>
      <c r="C142" s="1" t="s">
        <v>372</v>
      </c>
      <c r="D142" t="s">
        <v>178</v>
      </c>
      <c r="E142" t="s">
        <v>373</v>
      </c>
      <c r="G142">
        <v>51</v>
      </c>
      <c r="H142">
        <v>50</v>
      </c>
      <c r="I142">
        <v>0</v>
      </c>
      <c r="J142">
        <v>1</v>
      </c>
    </row>
    <row r="143" spans="1:10" x14ac:dyDescent="0.3">
      <c r="A143">
        <v>142</v>
      </c>
      <c r="B143" t="s">
        <v>102</v>
      </c>
      <c r="C143" s="1" t="s">
        <v>103</v>
      </c>
      <c r="D143" t="s">
        <v>104</v>
      </c>
      <c r="E143" t="s">
        <v>105</v>
      </c>
      <c r="G143">
        <v>46</v>
      </c>
      <c r="H143">
        <v>20</v>
      </c>
      <c r="I143">
        <v>26</v>
      </c>
      <c r="J143">
        <v>0</v>
      </c>
    </row>
    <row r="144" spans="1:10" x14ac:dyDescent="0.3">
      <c r="A144">
        <v>143</v>
      </c>
      <c r="B144" t="s">
        <v>510</v>
      </c>
      <c r="C144" s="1" t="s">
        <v>511</v>
      </c>
      <c r="D144" t="s">
        <v>425</v>
      </c>
      <c r="E144" t="s">
        <v>512</v>
      </c>
      <c r="G144">
        <v>45</v>
      </c>
      <c r="H144">
        <v>30</v>
      </c>
      <c r="I144">
        <v>10</v>
      </c>
      <c r="J144">
        <v>5</v>
      </c>
    </row>
    <row r="145" spans="1:10" x14ac:dyDescent="0.3">
      <c r="A145">
        <v>144</v>
      </c>
      <c r="B145" t="s">
        <v>391</v>
      </c>
      <c r="C145" s="1" t="s">
        <v>392</v>
      </c>
      <c r="D145" t="s">
        <v>178</v>
      </c>
      <c r="E145" t="s">
        <v>393</v>
      </c>
      <c r="G145">
        <v>42</v>
      </c>
      <c r="H145">
        <v>30</v>
      </c>
      <c r="I145">
        <v>11</v>
      </c>
      <c r="J145">
        <v>1</v>
      </c>
    </row>
    <row r="146" spans="1:10" x14ac:dyDescent="0.3">
      <c r="A146">
        <v>144</v>
      </c>
      <c r="B146" t="s">
        <v>385</v>
      </c>
      <c r="C146" s="1" t="s">
        <v>386</v>
      </c>
      <c r="D146" t="s">
        <v>346</v>
      </c>
      <c r="E146" t="s">
        <v>387</v>
      </c>
      <c r="G146">
        <v>42</v>
      </c>
      <c r="H146">
        <v>30</v>
      </c>
      <c r="I146">
        <v>0</v>
      </c>
      <c r="J146">
        <v>12</v>
      </c>
    </row>
    <row r="147" spans="1:10" x14ac:dyDescent="0.3">
      <c r="A147">
        <v>144</v>
      </c>
      <c r="B147" t="s">
        <v>450</v>
      </c>
      <c r="C147" s="1" t="s">
        <v>451</v>
      </c>
      <c r="D147" t="s">
        <v>305</v>
      </c>
      <c r="E147" t="s">
        <v>452</v>
      </c>
      <c r="G147">
        <v>42</v>
      </c>
      <c r="H147">
        <v>30</v>
      </c>
      <c r="I147">
        <v>11</v>
      </c>
      <c r="J147">
        <v>1</v>
      </c>
    </row>
    <row r="148" spans="1:10" x14ac:dyDescent="0.3">
      <c r="A148">
        <v>147</v>
      </c>
      <c r="B148" t="s">
        <v>284</v>
      </c>
      <c r="C148" s="1" t="s">
        <v>285</v>
      </c>
      <c r="D148" t="s">
        <v>100</v>
      </c>
      <c r="E148" t="s">
        <v>286</v>
      </c>
      <c r="G148">
        <v>41</v>
      </c>
      <c r="H148">
        <v>30</v>
      </c>
      <c r="I148">
        <v>11</v>
      </c>
      <c r="J148">
        <v>0</v>
      </c>
    </row>
    <row r="149" spans="1:10" x14ac:dyDescent="0.3">
      <c r="A149">
        <v>147</v>
      </c>
      <c r="B149" t="s">
        <v>485</v>
      </c>
      <c r="C149" s="1" t="s">
        <v>486</v>
      </c>
      <c r="D149" t="s">
        <v>89</v>
      </c>
      <c r="E149" t="s">
        <v>487</v>
      </c>
      <c r="G149">
        <v>41</v>
      </c>
      <c r="H149">
        <v>30</v>
      </c>
      <c r="I149">
        <v>11</v>
      </c>
      <c r="J149">
        <v>0</v>
      </c>
    </row>
    <row r="150" spans="1:10" x14ac:dyDescent="0.3">
      <c r="A150">
        <v>147</v>
      </c>
      <c r="B150" t="s">
        <v>287</v>
      </c>
      <c r="C150" s="1" t="s">
        <v>288</v>
      </c>
      <c r="D150" t="s">
        <v>178</v>
      </c>
      <c r="E150" t="s">
        <v>289</v>
      </c>
      <c r="G150">
        <v>41</v>
      </c>
      <c r="H150">
        <v>30</v>
      </c>
      <c r="I150">
        <v>10</v>
      </c>
      <c r="J150">
        <v>1</v>
      </c>
    </row>
    <row r="151" spans="1:10" x14ac:dyDescent="0.3">
      <c r="A151">
        <v>150</v>
      </c>
      <c r="B151" t="s">
        <v>476</v>
      </c>
      <c r="C151" s="1" t="s">
        <v>477</v>
      </c>
      <c r="D151" t="s">
        <v>81</v>
      </c>
      <c r="E151" t="s">
        <v>478</v>
      </c>
      <c r="G151">
        <v>40</v>
      </c>
      <c r="H151">
        <v>30</v>
      </c>
      <c r="I151">
        <v>10</v>
      </c>
      <c r="J151">
        <v>0</v>
      </c>
    </row>
    <row r="152" spans="1:10" x14ac:dyDescent="0.3">
      <c r="A152">
        <v>151</v>
      </c>
      <c r="B152" t="s">
        <v>374</v>
      </c>
      <c r="C152" s="1" t="s">
        <v>375</v>
      </c>
      <c r="D152" t="s">
        <v>24</v>
      </c>
      <c r="E152" t="s">
        <v>376</v>
      </c>
      <c r="G152">
        <v>32</v>
      </c>
      <c r="H152">
        <v>10</v>
      </c>
      <c r="I152">
        <v>0</v>
      </c>
      <c r="J152">
        <v>22</v>
      </c>
    </row>
    <row r="153" spans="1:10" x14ac:dyDescent="0.3">
      <c r="A153">
        <v>152</v>
      </c>
      <c r="B153" t="s">
        <v>516</v>
      </c>
      <c r="C153" s="1" t="s">
        <v>517</v>
      </c>
      <c r="D153" t="s">
        <v>442</v>
      </c>
      <c r="E153" t="s">
        <v>518</v>
      </c>
      <c r="G153">
        <v>31</v>
      </c>
      <c r="H153">
        <v>30</v>
      </c>
      <c r="I153">
        <v>0</v>
      </c>
      <c r="J153">
        <v>1</v>
      </c>
    </row>
    <row r="154" spans="1:10" x14ac:dyDescent="0.3">
      <c r="A154">
        <v>153</v>
      </c>
      <c r="B154" t="s">
        <v>575</v>
      </c>
      <c r="C154" s="1" t="s">
        <v>576</v>
      </c>
      <c r="D154" t="s">
        <v>577</v>
      </c>
      <c r="E154" t="s">
        <v>578</v>
      </c>
      <c r="G154">
        <v>30</v>
      </c>
      <c r="H154">
        <v>30</v>
      </c>
      <c r="I154">
        <v>0</v>
      </c>
      <c r="J154">
        <v>0</v>
      </c>
    </row>
    <row r="155" spans="1:10" x14ac:dyDescent="0.3">
      <c r="A155">
        <v>154</v>
      </c>
      <c r="B155" t="s">
        <v>513</v>
      </c>
      <c r="C155" s="1" t="s">
        <v>514</v>
      </c>
      <c r="D155" t="s">
        <v>108</v>
      </c>
      <c r="E155" t="s">
        <v>515</v>
      </c>
      <c r="G155">
        <v>22</v>
      </c>
      <c r="H155">
        <v>12</v>
      </c>
      <c r="I155">
        <v>10</v>
      </c>
      <c r="J155">
        <v>0</v>
      </c>
    </row>
    <row r="156" spans="1:10" x14ac:dyDescent="0.3">
      <c r="A156">
        <v>154</v>
      </c>
      <c r="B156" t="s">
        <v>381</v>
      </c>
      <c r="C156" s="1" t="s">
        <v>382</v>
      </c>
      <c r="D156" t="s">
        <v>383</v>
      </c>
      <c r="E156" t="s">
        <v>384</v>
      </c>
      <c r="G156">
        <v>22</v>
      </c>
      <c r="H156">
        <v>22</v>
      </c>
      <c r="I156">
        <v>0</v>
      </c>
      <c r="J156">
        <v>0</v>
      </c>
    </row>
    <row r="157" spans="1:10" x14ac:dyDescent="0.3">
      <c r="A157">
        <v>154</v>
      </c>
      <c r="B157" t="s">
        <v>205</v>
      </c>
      <c r="C157" s="1" t="s">
        <v>206</v>
      </c>
      <c r="D157" t="s">
        <v>89</v>
      </c>
      <c r="E157" t="s">
        <v>207</v>
      </c>
      <c r="G157">
        <v>22</v>
      </c>
      <c r="H157">
        <v>22</v>
      </c>
      <c r="I157">
        <v>0</v>
      </c>
      <c r="J157">
        <v>0</v>
      </c>
    </row>
    <row r="158" spans="1:10" x14ac:dyDescent="0.3">
      <c r="A158">
        <v>157</v>
      </c>
      <c r="B158" t="s">
        <v>469</v>
      </c>
      <c r="C158" s="1" t="s">
        <v>470</v>
      </c>
      <c r="D158" t="s">
        <v>471</v>
      </c>
      <c r="E158" t="s">
        <v>472</v>
      </c>
      <c r="G158">
        <v>20</v>
      </c>
      <c r="H158">
        <v>20</v>
      </c>
      <c r="I158">
        <v>0</v>
      </c>
      <c r="J158">
        <v>0</v>
      </c>
    </row>
    <row r="159" spans="1:10" x14ac:dyDescent="0.3">
      <c r="A159">
        <v>157</v>
      </c>
      <c r="B159" t="s">
        <v>231</v>
      </c>
      <c r="C159" s="1" t="s">
        <v>232</v>
      </c>
      <c r="D159" t="s">
        <v>20</v>
      </c>
      <c r="E159" t="s">
        <v>233</v>
      </c>
      <c r="G159">
        <v>20</v>
      </c>
      <c r="H159">
        <v>20</v>
      </c>
      <c r="I159">
        <v>0</v>
      </c>
      <c r="J159">
        <v>0</v>
      </c>
    </row>
    <row r="160" spans="1:10" x14ac:dyDescent="0.3">
      <c r="A160">
        <v>159</v>
      </c>
      <c r="B160" t="s">
        <v>504</v>
      </c>
      <c r="C160" s="1" t="s">
        <v>505</v>
      </c>
      <c r="D160" t="s">
        <v>178</v>
      </c>
      <c r="E160" t="s">
        <v>506</v>
      </c>
      <c r="G160">
        <v>11</v>
      </c>
      <c r="H160">
        <v>10</v>
      </c>
      <c r="I160">
        <v>0</v>
      </c>
      <c r="J160">
        <v>1</v>
      </c>
    </row>
    <row r="161" spans="1:10" x14ac:dyDescent="0.3">
      <c r="A161">
        <v>159</v>
      </c>
      <c r="B161" t="s">
        <v>423</v>
      </c>
      <c r="C161" s="1" t="s">
        <v>424</v>
      </c>
      <c r="D161" t="s">
        <v>425</v>
      </c>
      <c r="E161" t="s">
        <v>426</v>
      </c>
      <c r="G161">
        <v>11</v>
      </c>
      <c r="H161">
        <v>0</v>
      </c>
      <c r="I161">
        <v>11</v>
      </c>
      <c r="J161">
        <v>0</v>
      </c>
    </row>
    <row r="162" spans="1:10" x14ac:dyDescent="0.3">
      <c r="A162">
        <v>161</v>
      </c>
      <c r="B162" t="s">
        <v>138</v>
      </c>
      <c r="C162" s="1" t="s">
        <v>139</v>
      </c>
      <c r="D162" t="s">
        <v>20</v>
      </c>
      <c r="E162" t="s">
        <v>140</v>
      </c>
      <c r="G162">
        <v>10</v>
      </c>
      <c r="H162">
        <v>0</v>
      </c>
      <c r="I162">
        <v>10</v>
      </c>
      <c r="J162">
        <v>0</v>
      </c>
    </row>
    <row r="163" spans="1:10" x14ac:dyDescent="0.3">
      <c r="A163">
        <v>162</v>
      </c>
      <c r="B163" t="s">
        <v>166</v>
      </c>
      <c r="C163" s="1" t="s">
        <v>167</v>
      </c>
      <c r="D163" t="s">
        <v>168</v>
      </c>
      <c r="E163" t="s">
        <v>169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162</v>
      </c>
      <c r="B164" t="s">
        <v>348</v>
      </c>
      <c r="C164" s="1" t="s">
        <v>349</v>
      </c>
      <c r="D164" t="s">
        <v>81</v>
      </c>
      <c r="E164" t="s">
        <v>350</v>
      </c>
      <c r="G164">
        <v>0</v>
      </c>
      <c r="H164">
        <v>0</v>
      </c>
      <c r="I164">
        <v>0</v>
      </c>
      <c r="J164">
        <v>0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  <hyperlink ref="C36" r:id="rId35" xr:uid="{00000000-0004-0000-0300-000022000000}"/>
    <hyperlink ref="C37" r:id="rId36" xr:uid="{00000000-0004-0000-0300-000023000000}"/>
    <hyperlink ref="C38" r:id="rId37" xr:uid="{00000000-0004-0000-0300-000024000000}"/>
    <hyperlink ref="C39" r:id="rId38" xr:uid="{00000000-0004-0000-0300-000025000000}"/>
    <hyperlink ref="C40" r:id="rId39" xr:uid="{00000000-0004-0000-0300-000026000000}"/>
    <hyperlink ref="C41" r:id="rId40" xr:uid="{00000000-0004-0000-0300-000027000000}"/>
    <hyperlink ref="C42" r:id="rId41" xr:uid="{00000000-0004-0000-0300-000028000000}"/>
    <hyperlink ref="C43" r:id="rId42" xr:uid="{00000000-0004-0000-0300-000029000000}"/>
    <hyperlink ref="C44" r:id="rId43" xr:uid="{00000000-0004-0000-0300-00002A000000}"/>
    <hyperlink ref="C45" r:id="rId44" xr:uid="{00000000-0004-0000-0300-00002B000000}"/>
    <hyperlink ref="C46" r:id="rId45" xr:uid="{00000000-0004-0000-0300-00002C000000}"/>
    <hyperlink ref="C47" r:id="rId46" xr:uid="{00000000-0004-0000-0300-00002D000000}"/>
    <hyperlink ref="C48" r:id="rId47" xr:uid="{00000000-0004-0000-0300-00002E000000}"/>
    <hyperlink ref="C49" r:id="rId48" xr:uid="{00000000-0004-0000-0300-00002F000000}"/>
    <hyperlink ref="C50" r:id="rId49" xr:uid="{00000000-0004-0000-0300-000030000000}"/>
    <hyperlink ref="C51" r:id="rId50" xr:uid="{00000000-0004-0000-0300-000031000000}"/>
    <hyperlink ref="C52" r:id="rId51" xr:uid="{00000000-0004-0000-0300-000032000000}"/>
    <hyperlink ref="C53" r:id="rId52" xr:uid="{00000000-0004-0000-0300-000033000000}"/>
    <hyperlink ref="C54" r:id="rId53" xr:uid="{00000000-0004-0000-0300-000034000000}"/>
    <hyperlink ref="C55" r:id="rId54" xr:uid="{00000000-0004-0000-0300-000035000000}"/>
    <hyperlink ref="C56" r:id="rId55" xr:uid="{00000000-0004-0000-0300-000036000000}"/>
    <hyperlink ref="C57" r:id="rId56" xr:uid="{00000000-0004-0000-0300-000037000000}"/>
    <hyperlink ref="C58" r:id="rId57" xr:uid="{00000000-0004-0000-0300-000038000000}"/>
    <hyperlink ref="C59" r:id="rId58" xr:uid="{00000000-0004-0000-0300-000039000000}"/>
    <hyperlink ref="C60" r:id="rId59" xr:uid="{00000000-0004-0000-0300-00003A000000}"/>
    <hyperlink ref="C61" r:id="rId60" xr:uid="{00000000-0004-0000-0300-00003B000000}"/>
    <hyperlink ref="C62" r:id="rId61" xr:uid="{00000000-0004-0000-0300-00003C000000}"/>
    <hyperlink ref="C63" r:id="rId62" xr:uid="{00000000-0004-0000-0300-00003D000000}"/>
    <hyperlink ref="C64" r:id="rId63" xr:uid="{00000000-0004-0000-0300-00003E000000}"/>
    <hyperlink ref="C65" r:id="rId64" xr:uid="{00000000-0004-0000-0300-00003F000000}"/>
    <hyperlink ref="C66" r:id="rId65" xr:uid="{00000000-0004-0000-0300-000040000000}"/>
    <hyperlink ref="C67" r:id="rId66" xr:uid="{00000000-0004-0000-0300-000041000000}"/>
    <hyperlink ref="C68" r:id="rId67" xr:uid="{00000000-0004-0000-0300-000042000000}"/>
    <hyperlink ref="C69" r:id="rId68" xr:uid="{00000000-0004-0000-0300-000043000000}"/>
    <hyperlink ref="C70" r:id="rId69" xr:uid="{00000000-0004-0000-0300-000044000000}"/>
    <hyperlink ref="C71" r:id="rId70" xr:uid="{00000000-0004-0000-0300-000045000000}"/>
    <hyperlink ref="C72" r:id="rId71" xr:uid="{00000000-0004-0000-0300-000046000000}"/>
    <hyperlink ref="C73" r:id="rId72" xr:uid="{00000000-0004-0000-0300-000047000000}"/>
    <hyperlink ref="C74" r:id="rId73" xr:uid="{00000000-0004-0000-0300-000048000000}"/>
    <hyperlink ref="C75" r:id="rId74" xr:uid="{00000000-0004-0000-0300-000049000000}"/>
    <hyperlink ref="C76" r:id="rId75" xr:uid="{00000000-0004-0000-0300-00004A000000}"/>
    <hyperlink ref="C77" r:id="rId76" xr:uid="{00000000-0004-0000-0300-00004B000000}"/>
    <hyperlink ref="C78" r:id="rId77" xr:uid="{00000000-0004-0000-0300-00004C000000}"/>
    <hyperlink ref="C79" r:id="rId78" xr:uid="{00000000-0004-0000-0300-00004D000000}"/>
    <hyperlink ref="C80" r:id="rId79" xr:uid="{00000000-0004-0000-0300-00004E000000}"/>
    <hyperlink ref="C81" r:id="rId80" xr:uid="{00000000-0004-0000-0300-00004F000000}"/>
    <hyperlink ref="C82" r:id="rId81" xr:uid="{00000000-0004-0000-0300-000050000000}"/>
    <hyperlink ref="C83" r:id="rId82" xr:uid="{00000000-0004-0000-0300-000051000000}"/>
    <hyperlink ref="C84" r:id="rId83" xr:uid="{00000000-0004-0000-0300-000052000000}"/>
    <hyperlink ref="C85" r:id="rId84" xr:uid="{00000000-0004-0000-0300-000053000000}"/>
    <hyperlink ref="C86" r:id="rId85" xr:uid="{00000000-0004-0000-0300-000054000000}"/>
    <hyperlink ref="C87" r:id="rId86" xr:uid="{00000000-0004-0000-0300-000055000000}"/>
    <hyperlink ref="C88" r:id="rId87" xr:uid="{00000000-0004-0000-0300-000056000000}"/>
    <hyperlink ref="C89" r:id="rId88" xr:uid="{00000000-0004-0000-0300-000057000000}"/>
    <hyperlink ref="C90" r:id="rId89" xr:uid="{00000000-0004-0000-0300-000058000000}"/>
    <hyperlink ref="C91" r:id="rId90" xr:uid="{00000000-0004-0000-0300-000059000000}"/>
    <hyperlink ref="C92" r:id="rId91" xr:uid="{00000000-0004-0000-0300-00005A000000}"/>
    <hyperlink ref="C93" r:id="rId92" xr:uid="{00000000-0004-0000-0300-00005B000000}"/>
    <hyperlink ref="C94" r:id="rId93" xr:uid="{00000000-0004-0000-0300-00005C000000}"/>
    <hyperlink ref="C95" r:id="rId94" xr:uid="{00000000-0004-0000-0300-00005D000000}"/>
    <hyperlink ref="C96" r:id="rId95" xr:uid="{00000000-0004-0000-0300-00005E000000}"/>
    <hyperlink ref="C97" r:id="rId96" xr:uid="{00000000-0004-0000-0300-00005F000000}"/>
    <hyperlink ref="C98" r:id="rId97" xr:uid="{00000000-0004-0000-0300-000060000000}"/>
    <hyperlink ref="C99" r:id="rId98" xr:uid="{00000000-0004-0000-0300-000061000000}"/>
    <hyperlink ref="C100" r:id="rId99" xr:uid="{00000000-0004-0000-0300-000062000000}"/>
    <hyperlink ref="C101" r:id="rId100" xr:uid="{00000000-0004-0000-0300-000063000000}"/>
    <hyperlink ref="C102" r:id="rId101" xr:uid="{00000000-0004-0000-0300-000064000000}"/>
    <hyperlink ref="C103" r:id="rId102" xr:uid="{00000000-0004-0000-0300-000065000000}"/>
    <hyperlink ref="C104" r:id="rId103" xr:uid="{00000000-0004-0000-0300-000066000000}"/>
    <hyperlink ref="C105" r:id="rId104" xr:uid="{00000000-0004-0000-0300-000067000000}"/>
    <hyperlink ref="C106" r:id="rId105" xr:uid="{00000000-0004-0000-0300-000068000000}"/>
    <hyperlink ref="C107" r:id="rId106" xr:uid="{00000000-0004-0000-0300-000069000000}"/>
    <hyperlink ref="C108" r:id="rId107" xr:uid="{00000000-0004-0000-0300-00006A000000}"/>
    <hyperlink ref="C109" r:id="rId108" xr:uid="{00000000-0004-0000-0300-00006B000000}"/>
    <hyperlink ref="C110" r:id="rId109" xr:uid="{00000000-0004-0000-0300-00006C000000}"/>
    <hyperlink ref="C111" r:id="rId110" xr:uid="{00000000-0004-0000-0300-00006D000000}"/>
    <hyperlink ref="C112" r:id="rId111" xr:uid="{00000000-0004-0000-0300-00006E000000}"/>
    <hyperlink ref="C113" r:id="rId112" xr:uid="{00000000-0004-0000-0300-00006F000000}"/>
    <hyperlink ref="C114" r:id="rId113" xr:uid="{00000000-0004-0000-0300-000070000000}"/>
    <hyperlink ref="C115" r:id="rId114" xr:uid="{00000000-0004-0000-0300-000071000000}"/>
    <hyperlink ref="C116" r:id="rId115" xr:uid="{00000000-0004-0000-0300-000072000000}"/>
    <hyperlink ref="C117" r:id="rId116" xr:uid="{00000000-0004-0000-0300-000073000000}"/>
    <hyperlink ref="C118" r:id="rId117" xr:uid="{00000000-0004-0000-0300-000074000000}"/>
    <hyperlink ref="C119" r:id="rId118" xr:uid="{00000000-0004-0000-0300-000075000000}"/>
    <hyperlink ref="C120" r:id="rId119" xr:uid="{00000000-0004-0000-0300-000076000000}"/>
    <hyperlink ref="C121" r:id="rId120" xr:uid="{00000000-0004-0000-0300-000077000000}"/>
    <hyperlink ref="C122" r:id="rId121" xr:uid="{00000000-0004-0000-0300-000078000000}"/>
    <hyperlink ref="C123" r:id="rId122" xr:uid="{00000000-0004-0000-0300-000079000000}"/>
    <hyperlink ref="C124" r:id="rId123" xr:uid="{00000000-0004-0000-0300-00007A000000}"/>
    <hyperlink ref="C125" r:id="rId124" xr:uid="{00000000-0004-0000-0300-00007B000000}"/>
    <hyperlink ref="C126" r:id="rId125" xr:uid="{00000000-0004-0000-0300-00007C000000}"/>
    <hyperlink ref="C127" r:id="rId126" xr:uid="{00000000-0004-0000-0300-00007D000000}"/>
    <hyperlink ref="C128" r:id="rId127" xr:uid="{00000000-0004-0000-0300-00007E000000}"/>
    <hyperlink ref="C129" r:id="rId128" xr:uid="{00000000-0004-0000-0300-00007F000000}"/>
    <hyperlink ref="C130" r:id="rId129" xr:uid="{00000000-0004-0000-0300-000080000000}"/>
    <hyperlink ref="C131" r:id="rId130" xr:uid="{00000000-0004-0000-0300-000081000000}"/>
    <hyperlink ref="C132" r:id="rId131" xr:uid="{00000000-0004-0000-0300-000082000000}"/>
    <hyperlink ref="C133" r:id="rId132" xr:uid="{00000000-0004-0000-0300-000083000000}"/>
    <hyperlink ref="C134" r:id="rId133" xr:uid="{00000000-0004-0000-0300-000084000000}"/>
    <hyperlink ref="C135" r:id="rId134" xr:uid="{00000000-0004-0000-0300-000085000000}"/>
    <hyperlink ref="C136" r:id="rId135" xr:uid="{00000000-0004-0000-0300-000086000000}"/>
    <hyperlink ref="C137" r:id="rId136" xr:uid="{00000000-0004-0000-0300-000087000000}"/>
    <hyperlink ref="C138" r:id="rId137" xr:uid="{00000000-0004-0000-0300-000088000000}"/>
    <hyperlink ref="C139" r:id="rId138" xr:uid="{00000000-0004-0000-0300-000089000000}"/>
    <hyperlink ref="C140" r:id="rId139" xr:uid="{00000000-0004-0000-0300-00008A000000}"/>
    <hyperlink ref="C141" r:id="rId140" xr:uid="{00000000-0004-0000-0300-00008B000000}"/>
    <hyperlink ref="C142" r:id="rId141" xr:uid="{00000000-0004-0000-0300-00008C000000}"/>
    <hyperlink ref="C143" r:id="rId142" xr:uid="{00000000-0004-0000-0300-00008D000000}"/>
    <hyperlink ref="C144" r:id="rId143" xr:uid="{00000000-0004-0000-0300-00008E000000}"/>
    <hyperlink ref="C145" r:id="rId144" xr:uid="{00000000-0004-0000-0300-00008F000000}"/>
    <hyperlink ref="C146" r:id="rId145" xr:uid="{00000000-0004-0000-0300-000090000000}"/>
    <hyperlink ref="C147" r:id="rId146" xr:uid="{00000000-0004-0000-0300-000091000000}"/>
    <hyperlink ref="C148" r:id="rId147" xr:uid="{00000000-0004-0000-0300-000092000000}"/>
    <hyperlink ref="C149" r:id="rId148" xr:uid="{00000000-0004-0000-0300-000093000000}"/>
    <hyperlink ref="C150" r:id="rId149" xr:uid="{00000000-0004-0000-0300-000094000000}"/>
    <hyperlink ref="C151" r:id="rId150" xr:uid="{00000000-0004-0000-0300-000095000000}"/>
    <hyperlink ref="C152" r:id="rId151" xr:uid="{00000000-0004-0000-0300-000096000000}"/>
    <hyperlink ref="C153" r:id="rId152" xr:uid="{00000000-0004-0000-0300-000097000000}"/>
    <hyperlink ref="C154" r:id="rId153" xr:uid="{00000000-0004-0000-0300-000098000000}"/>
    <hyperlink ref="C155" r:id="rId154" xr:uid="{00000000-0004-0000-0300-000099000000}"/>
    <hyperlink ref="C156" r:id="rId155" xr:uid="{00000000-0004-0000-0300-00009A000000}"/>
    <hyperlink ref="C157" r:id="rId156" xr:uid="{00000000-0004-0000-0300-00009B000000}"/>
    <hyperlink ref="C158" r:id="rId157" xr:uid="{00000000-0004-0000-0300-00009C000000}"/>
    <hyperlink ref="C159" r:id="rId158" xr:uid="{00000000-0004-0000-0300-00009D000000}"/>
    <hyperlink ref="C160" r:id="rId159" xr:uid="{00000000-0004-0000-0300-00009E000000}"/>
    <hyperlink ref="C161" r:id="rId160" xr:uid="{00000000-0004-0000-0300-00009F000000}"/>
    <hyperlink ref="C162" r:id="rId161" xr:uid="{00000000-0004-0000-0300-0000A0000000}"/>
    <hyperlink ref="C163" r:id="rId162" xr:uid="{00000000-0004-0000-0300-0000A1000000}"/>
    <hyperlink ref="C164" r:id="rId163" xr:uid="{00000000-0004-0000-0300-0000A2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5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582</v>
      </c>
      <c r="I1" t="s">
        <v>583</v>
      </c>
      <c r="J1" t="s">
        <v>584</v>
      </c>
    </row>
    <row r="2" spans="1:10" x14ac:dyDescent="0.3">
      <c r="A2">
        <v>1</v>
      </c>
      <c r="B2" t="s">
        <v>36</v>
      </c>
      <c r="C2" s="1" t="s">
        <v>37</v>
      </c>
      <c r="D2" t="s">
        <v>16</v>
      </c>
      <c r="E2" t="s">
        <v>38</v>
      </c>
      <c r="G2">
        <v>300</v>
      </c>
      <c r="H2">
        <v>100</v>
      </c>
      <c r="I2">
        <v>100</v>
      </c>
      <c r="J2">
        <v>100</v>
      </c>
    </row>
    <row r="3" spans="1:10" x14ac:dyDescent="0.3">
      <c r="A3">
        <v>2</v>
      </c>
      <c r="B3" t="s">
        <v>98</v>
      </c>
      <c r="C3" s="1" t="s">
        <v>99</v>
      </c>
      <c r="D3" t="s">
        <v>100</v>
      </c>
      <c r="E3" t="s">
        <v>101</v>
      </c>
      <c r="G3">
        <v>232</v>
      </c>
      <c r="H3">
        <v>100</v>
      </c>
      <c r="I3">
        <v>32</v>
      </c>
      <c r="J3">
        <v>100</v>
      </c>
    </row>
    <row r="4" spans="1:10" x14ac:dyDescent="0.3">
      <c r="A4">
        <v>2</v>
      </c>
      <c r="B4" t="s">
        <v>256</v>
      </c>
      <c r="C4" s="1" t="s">
        <v>257</v>
      </c>
      <c r="D4" t="s">
        <v>258</v>
      </c>
      <c r="E4" t="s">
        <v>259</v>
      </c>
      <c r="G4">
        <v>232</v>
      </c>
      <c r="H4">
        <v>100</v>
      </c>
      <c r="I4">
        <v>32</v>
      </c>
      <c r="J4">
        <v>100</v>
      </c>
    </row>
    <row r="5" spans="1:10" x14ac:dyDescent="0.3">
      <c r="A5">
        <v>2</v>
      </c>
      <c r="B5" t="s">
        <v>290</v>
      </c>
      <c r="C5" s="1" t="s">
        <v>291</v>
      </c>
      <c r="D5" t="s">
        <v>81</v>
      </c>
      <c r="E5" t="s">
        <v>292</v>
      </c>
      <c r="G5">
        <v>232</v>
      </c>
      <c r="H5">
        <v>100</v>
      </c>
      <c r="I5">
        <v>32</v>
      </c>
      <c r="J5">
        <v>100</v>
      </c>
    </row>
    <row r="6" spans="1:10" x14ac:dyDescent="0.3">
      <c r="A6">
        <v>2</v>
      </c>
      <c r="B6" t="s">
        <v>58</v>
      </c>
      <c r="C6" s="1" t="s">
        <v>59</v>
      </c>
      <c r="D6" t="s">
        <v>60</v>
      </c>
      <c r="E6" t="s">
        <v>61</v>
      </c>
      <c r="G6">
        <v>232</v>
      </c>
      <c r="H6">
        <v>100</v>
      </c>
      <c r="I6">
        <v>32</v>
      </c>
      <c r="J6">
        <v>100</v>
      </c>
    </row>
    <row r="7" spans="1:10" x14ac:dyDescent="0.3">
      <c r="A7">
        <v>6</v>
      </c>
      <c r="B7" t="s">
        <v>33</v>
      </c>
      <c r="C7" s="1" t="s">
        <v>34</v>
      </c>
      <c r="D7" t="s">
        <v>16</v>
      </c>
      <c r="E7" t="s">
        <v>35</v>
      </c>
      <c r="G7">
        <v>230</v>
      </c>
      <c r="H7">
        <v>100</v>
      </c>
      <c r="I7">
        <v>100</v>
      </c>
      <c r="J7">
        <v>30</v>
      </c>
    </row>
    <row r="8" spans="1:10" x14ac:dyDescent="0.3">
      <c r="A8">
        <v>6</v>
      </c>
      <c r="B8" t="s">
        <v>46</v>
      </c>
      <c r="C8" s="1" t="s">
        <v>47</v>
      </c>
      <c r="D8" t="s">
        <v>48</v>
      </c>
      <c r="E8" t="s">
        <v>49</v>
      </c>
      <c r="G8">
        <v>230</v>
      </c>
      <c r="H8">
        <v>100</v>
      </c>
      <c r="I8">
        <v>100</v>
      </c>
      <c r="J8">
        <v>30</v>
      </c>
    </row>
    <row r="9" spans="1:10" x14ac:dyDescent="0.3">
      <c r="A9">
        <v>8</v>
      </c>
      <c r="B9" t="s">
        <v>141</v>
      </c>
      <c r="C9" s="1" t="s">
        <v>142</v>
      </c>
      <c r="D9" t="s">
        <v>143</v>
      </c>
      <c r="E9" t="s">
        <v>144</v>
      </c>
      <c r="G9">
        <v>220</v>
      </c>
      <c r="H9">
        <v>100</v>
      </c>
      <c r="I9">
        <v>100</v>
      </c>
      <c r="J9">
        <v>20</v>
      </c>
    </row>
    <row r="10" spans="1:10" x14ac:dyDescent="0.3">
      <c r="A10">
        <v>9</v>
      </c>
      <c r="B10" t="s">
        <v>50</v>
      </c>
      <c r="C10" s="1" t="s">
        <v>51</v>
      </c>
      <c r="D10" t="s">
        <v>52</v>
      </c>
      <c r="E10" t="s">
        <v>53</v>
      </c>
      <c r="G10">
        <v>216</v>
      </c>
      <c r="H10">
        <v>100</v>
      </c>
      <c r="I10">
        <v>16</v>
      </c>
      <c r="J10">
        <v>100</v>
      </c>
    </row>
    <row r="11" spans="1:10" x14ac:dyDescent="0.3">
      <c r="A11">
        <v>10</v>
      </c>
      <c r="B11" t="s">
        <v>260</v>
      </c>
      <c r="C11" s="1" t="s">
        <v>261</v>
      </c>
      <c r="D11" t="s">
        <v>96</v>
      </c>
      <c r="E11" t="s">
        <v>262</v>
      </c>
      <c r="G11">
        <v>212</v>
      </c>
      <c r="H11">
        <v>100</v>
      </c>
      <c r="I11">
        <v>12</v>
      </c>
      <c r="J11">
        <v>100</v>
      </c>
    </row>
    <row r="12" spans="1:10" x14ac:dyDescent="0.3">
      <c r="A12">
        <v>11</v>
      </c>
      <c r="B12" t="s">
        <v>193</v>
      </c>
      <c r="C12" s="1" t="s">
        <v>194</v>
      </c>
      <c r="D12" t="s">
        <v>60</v>
      </c>
      <c r="E12" t="s">
        <v>195</v>
      </c>
      <c r="G12">
        <v>210</v>
      </c>
      <c r="H12">
        <v>100</v>
      </c>
      <c r="I12">
        <v>100</v>
      </c>
      <c r="J12">
        <v>10</v>
      </c>
    </row>
    <row r="13" spans="1:10" x14ac:dyDescent="0.3">
      <c r="A13">
        <v>12</v>
      </c>
      <c r="B13" t="s">
        <v>39</v>
      </c>
      <c r="C13" s="1" t="s">
        <v>40</v>
      </c>
      <c r="D13" t="s">
        <v>41</v>
      </c>
      <c r="E13" t="s">
        <v>42</v>
      </c>
      <c r="G13">
        <v>204</v>
      </c>
      <c r="H13">
        <v>100</v>
      </c>
      <c r="I13">
        <v>74</v>
      </c>
      <c r="J13">
        <v>30</v>
      </c>
    </row>
    <row r="14" spans="1:10" x14ac:dyDescent="0.3">
      <c r="A14">
        <v>12</v>
      </c>
      <c r="B14" t="s">
        <v>10</v>
      </c>
      <c r="C14" s="1" t="s">
        <v>11</v>
      </c>
      <c r="D14" t="s">
        <v>12</v>
      </c>
      <c r="E14" t="s">
        <v>13</v>
      </c>
      <c r="G14">
        <v>204</v>
      </c>
      <c r="H14">
        <v>100</v>
      </c>
      <c r="I14">
        <v>74</v>
      </c>
      <c r="J14">
        <v>30</v>
      </c>
    </row>
    <row r="15" spans="1:10" x14ac:dyDescent="0.3">
      <c r="A15">
        <v>14</v>
      </c>
      <c r="B15" t="s">
        <v>163</v>
      </c>
      <c r="C15" s="1" t="s">
        <v>164</v>
      </c>
      <c r="D15" t="s">
        <v>89</v>
      </c>
      <c r="E15" t="s">
        <v>165</v>
      </c>
      <c r="G15">
        <v>200</v>
      </c>
      <c r="H15">
        <v>100</v>
      </c>
      <c r="I15">
        <v>70</v>
      </c>
      <c r="J15">
        <v>30</v>
      </c>
    </row>
    <row r="16" spans="1:10" x14ac:dyDescent="0.3">
      <c r="A16">
        <v>14</v>
      </c>
      <c r="B16" t="s">
        <v>507</v>
      </c>
      <c r="C16" s="1" t="s">
        <v>508</v>
      </c>
      <c r="D16" t="s">
        <v>16</v>
      </c>
      <c r="E16" t="s">
        <v>509</v>
      </c>
      <c r="G16">
        <v>200</v>
      </c>
      <c r="H16">
        <v>100</v>
      </c>
      <c r="I16">
        <v>70</v>
      </c>
      <c r="J16">
        <v>30</v>
      </c>
    </row>
    <row r="17" spans="1:10" x14ac:dyDescent="0.3">
      <c r="A17">
        <v>14</v>
      </c>
      <c r="B17" t="s">
        <v>66</v>
      </c>
      <c r="C17" s="1" t="s">
        <v>67</v>
      </c>
      <c r="D17" t="s">
        <v>68</v>
      </c>
      <c r="E17" t="s">
        <v>69</v>
      </c>
      <c r="G17">
        <v>200</v>
      </c>
      <c r="H17">
        <v>100</v>
      </c>
      <c r="I17">
        <v>0</v>
      </c>
      <c r="J17">
        <v>100</v>
      </c>
    </row>
    <row r="18" spans="1:10" x14ac:dyDescent="0.3">
      <c r="A18">
        <v>14</v>
      </c>
      <c r="B18" t="s">
        <v>116</v>
      </c>
      <c r="C18" s="1" t="s">
        <v>117</v>
      </c>
      <c r="D18" t="s">
        <v>118</v>
      </c>
      <c r="E18" t="s">
        <v>119</v>
      </c>
      <c r="G18">
        <v>200</v>
      </c>
      <c r="H18">
        <v>100</v>
      </c>
      <c r="I18">
        <v>100</v>
      </c>
      <c r="J18">
        <v>0</v>
      </c>
    </row>
    <row r="19" spans="1:10" x14ac:dyDescent="0.3">
      <c r="A19">
        <v>14</v>
      </c>
      <c r="B19" t="s">
        <v>466</v>
      </c>
      <c r="C19" s="1" t="s">
        <v>467</v>
      </c>
      <c r="D19" t="s">
        <v>48</v>
      </c>
      <c r="E19" t="s">
        <v>468</v>
      </c>
      <c r="G19">
        <v>200</v>
      </c>
      <c r="H19">
        <v>100</v>
      </c>
      <c r="I19">
        <v>100</v>
      </c>
      <c r="J19">
        <v>0</v>
      </c>
    </row>
    <row r="20" spans="1:10" x14ac:dyDescent="0.3">
      <c r="A20">
        <v>14</v>
      </c>
      <c r="B20" t="s">
        <v>166</v>
      </c>
      <c r="C20" s="1" t="s">
        <v>167</v>
      </c>
      <c r="D20" t="s">
        <v>168</v>
      </c>
      <c r="E20" t="s">
        <v>169</v>
      </c>
      <c r="G20">
        <v>200</v>
      </c>
      <c r="H20">
        <v>100</v>
      </c>
      <c r="I20">
        <v>0</v>
      </c>
      <c r="J20">
        <v>100</v>
      </c>
    </row>
    <row r="21" spans="1:10" x14ac:dyDescent="0.3">
      <c r="A21">
        <v>20</v>
      </c>
      <c r="B21" t="s">
        <v>30</v>
      </c>
      <c r="C21" s="1" t="s">
        <v>31</v>
      </c>
      <c r="D21" t="s">
        <v>20</v>
      </c>
      <c r="E21" t="s">
        <v>32</v>
      </c>
      <c r="G21">
        <v>199</v>
      </c>
      <c r="H21">
        <v>100</v>
      </c>
      <c r="I21">
        <v>99</v>
      </c>
      <c r="J21">
        <v>0</v>
      </c>
    </row>
    <row r="22" spans="1:10" x14ac:dyDescent="0.3">
      <c r="A22">
        <v>21</v>
      </c>
      <c r="B22" t="s">
        <v>54</v>
      </c>
      <c r="C22" s="1" t="s">
        <v>55</v>
      </c>
      <c r="D22" t="s">
        <v>56</v>
      </c>
      <c r="E22" t="s">
        <v>57</v>
      </c>
      <c r="G22">
        <v>198</v>
      </c>
      <c r="H22">
        <v>100</v>
      </c>
      <c r="I22">
        <v>78</v>
      </c>
      <c r="J22">
        <v>20</v>
      </c>
    </row>
    <row r="23" spans="1:10" x14ac:dyDescent="0.3">
      <c r="A23">
        <v>22</v>
      </c>
      <c r="B23" t="s">
        <v>106</v>
      </c>
      <c r="C23" s="1" t="s">
        <v>107</v>
      </c>
      <c r="D23" t="s">
        <v>108</v>
      </c>
      <c r="E23" t="s">
        <v>109</v>
      </c>
      <c r="G23">
        <v>197</v>
      </c>
      <c r="H23">
        <v>100</v>
      </c>
      <c r="I23">
        <v>97</v>
      </c>
      <c r="J23">
        <v>0</v>
      </c>
    </row>
    <row r="24" spans="1:10" x14ac:dyDescent="0.3">
      <c r="A24">
        <v>23</v>
      </c>
      <c r="B24" t="s">
        <v>205</v>
      </c>
      <c r="C24" s="1" t="s">
        <v>206</v>
      </c>
      <c r="D24" t="s">
        <v>89</v>
      </c>
      <c r="E24" t="s">
        <v>207</v>
      </c>
      <c r="G24">
        <v>194</v>
      </c>
      <c r="H24">
        <v>100</v>
      </c>
      <c r="I24">
        <v>74</v>
      </c>
      <c r="J24">
        <v>20</v>
      </c>
    </row>
    <row r="25" spans="1:10" x14ac:dyDescent="0.3">
      <c r="A25">
        <v>24</v>
      </c>
      <c r="B25" t="s">
        <v>543</v>
      </c>
      <c r="C25" s="1" t="s">
        <v>544</v>
      </c>
      <c r="D25" t="s">
        <v>191</v>
      </c>
      <c r="E25" t="s">
        <v>545</v>
      </c>
      <c r="G25">
        <v>192</v>
      </c>
      <c r="H25">
        <v>100</v>
      </c>
      <c r="I25">
        <v>72</v>
      </c>
      <c r="J25">
        <v>20</v>
      </c>
    </row>
    <row r="26" spans="1:10" x14ac:dyDescent="0.3">
      <c r="A26">
        <v>25</v>
      </c>
      <c r="B26" t="s">
        <v>76</v>
      </c>
      <c r="C26" s="1" t="s">
        <v>77</v>
      </c>
      <c r="D26" t="s">
        <v>64</v>
      </c>
      <c r="E26" t="s">
        <v>78</v>
      </c>
      <c r="G26">
        <v>188</v>
      </c>
      <c r="H26">
        <v>100</v>
      </c>
      <c r="I26">
        <v>58</v>
      </c>
      <c r="J26">
        <v>30</v>
      </c>
    </row>
    <row r="27" spans="1:10" x14ac:dyDescent="0.3">
      <c r="A27">
        <v>26</v>
      </c>
      <c r="B27" t="s">
        <v>228</v>
      </c>
      <c r="C27" s="1" t="s">
        <v>229</v>
      </c>
      <c r="D27" t="s">
        <v>126</v>
      </c>
      <c r="E27" t="s">
        <v>230</v>
      </c>
      <c r="G27">
        <v>186</v>
      </c>
      <c r="H27">
        <v>100</v>
      </c>
      <c r="I27">
        <v>56</v>
      </c>
      <c r="J27">
        <v>30</v>
      </c>
    </row>
    <row r="28" spans="1:10" x14ac:dyDescent="0.3">
      <c r="A28">
        <v>27</v>
      </c>
      <c r="B28" t="s">
        <v>221</v>
      </c>
      <c r="C28" s="1" t="s">
        <v>222</v>
      </c>
      <c r="D28" t="s">
        <v>223</v>
      </c>
      <c r="E28" t="s">
        <v>224</v>
      </c>
      <c r="G28">
        <v>182</v>
      </c>
      <c r="H28">
        <v>95</v>
      </c>
      <c r="I28">
        <v>57</v>
      </c>
      <c r="J28">
        <v>30</v>
      </c>
    </row>
    <row r="29" spans="1:10" x14ac:dyDescent="0.3">
      <c r="A29">
        <v>28</v>
      </c>
      <c r="B29" t="s">
        <v>128</v>
      </c>
      <c r="C29" s="1" t="s">
        <v>129</v>
      </c>
      <c r="D29" t="s">
        <v>89</v>
      </c>
      <c r="E29" t="s">
        <v>130</v>
      </c>
      <c r="G29">
        <v>181</v>
      </c>
      <c r="H29">
        <v>100</v>
      </c>
      <c r="I29">
        <v>61</v>
      </c>
      <c r="J29">
        <v>20</v>
      </c>
    </row>
    <row r="30" spans="1:10" x14ac:dyDescent="0.3">
      <c r="A30">
        <v>29</v>
      </c>
      <c r="B30" t="s">
        <v>430</v>
      </c>
      <c r="C30" s="1" t="s">
        <v>431</v>
      </c>
      <c r="D30" t="s">
        <v>258</v>
      </c>
      <c r="E30" t="s">
        <v>432</v>
      </c>
      <c r="G30">
        <v>180</v>
      </c>
      <c r="H30">
        <v>100</v>
      </c>
      <c r="I30">
        <v>80</v>
      </c>
      <c r="J30">
        <v>0</v>
      </c>
    </row>
    <row r="31" spans="1:10" x14ac:dyDescent="0.3">
      <c r="A31">
        <v>29</v>
      </c>
      <c r="B31" t="s">
        <v>183</v>
      </c>
      <c r="C31" s="1" t="s">
        <v>184</v>
      </c>
      <c r="D31" t="s">
        <v>104</v>
      </c>
      <c r="E31" t="s">
        <v>185</v>
      </c>
      <c r="G31">
        <v>180</v>
      </c>
      <c r="H31">
        <v>100</v>
      </c>
      <c r="I31">
        <v>80</v>
      </c>
      <c r="J31">
        <v>0</v>
      </c>
    </row>
    <row r="32" spans="1:10" x14ac:dyDescent="0.3">
      <c r="A32">
        <v>31</v>
      </c>
      <c r="B32" t="s">
        <v>218</v>
      </c>
      <c r="C32" s="1" t="s">
        <v>219</v>
      </c>
      <c r="D32" t="s">
        <v>16</v>
      </c>
      <c r="E32" t="s">
        <v>220</v>
      </c>
      <c r="G32">
        <v>178</v>
      </c>
      <c r="H32">
        <v>100</v>
      </c>
      <c r="I32">
        <v>48</v>
      </c>
      <c r="J32">
        <v>30</v>
      </c>
    </row>
    <row r="33" spans="1:10" x14ac:dyDescent="0.3">
      <c r="A33">
        <v>31</v>
      </c>
      <c r="B33" t="s">
        <v>160</v>
      </c>
      <c r="C33" s="1" t="s">
        <v>161</v>
      </c>
      <c r="D33" t="s">
        <v>60</v>
      </c>
      <c r="E33" t="s">
        <v>162</v>
      </c>
      <c r="G33">
        <v>178</v>
      </c>
      <c r="H33">
        <v>100</v>
      </c>
      <c r="I33">
        <v>48</v>
      </c>
      <c r="J33">
        <v>30</v>
      </c>
    </row>
    <row r="34" spans="1:10" x14ac:dyDescent="0.3">
      <c r="A34">
        <v>31</v>
      </c>
      <c r="B34" t="s">
        <v>70</v>
      </c>
      <c r="C34" s="1" t="s">
        <v>71</v>
      </c>
      <c r="D34" t="s">
        <v>16</v>
      </c>
      <c r="E34" t="s">
        <v>72</v>
      </c>
      <c r="G34">
        <v>178</v>
      </c>
      <c r="H34">
        <v>100</v>
      </c>
      <c r="I34">
        <v>48</v>
      </c>
      <c r="J34">
        <v>30</v>
      </c>
    </row>
    <row r="35" spans="1:10" x14ac:dyDescent="0.3">
      <c r="A35">
        <v>31</v>
      </c>
      <c r="B35" t="s">
        <v>79</v>
      </c>
      <c r="C35" s="1" t="s">
        <v>80</v>
      </c>
      <c r="D35" t="s">
        <v>81</v>
      </c>
      <c r="E35" t="s">
        <v>82</v>
      </c>
      <c r="G35">
        <v>178</v>
      </c>
      <c r="H35">
        <v>100</v>
      </c>
      <c r="I35">
        <v>48</v>
      </c>
      <c r="J35">
        <v>30</v>
      </c>
    </row>
    <row r="36" spans="1:10" x14ac:dyDescent="0.3">
      <c r="A36">
        <v>35</v>
      </c>
      <c r="B36" t="s">
        <v>94</v>
      </c>
      <c r="C36" s="1" t="s">
        <v>95</v>
      </c>
      <c r="D36" t="s">
        <v>96</v>
      </c>
      <c r="E36" t="s">
        <v>97</v>
      </c>
      <c r="G36">
        <v>177</v>
      </c>
      <c r="H36">
        <v>45</v>
      </c>
      <c r="I36">
        <v>32</v>
      </c>
      <c r="J36">
        <v>100</v>
      </c>
    </row>
    <row r="37" spans="1:10" x14ac:dyDescent="0.3">
      <c r="A37">
        <v>36</v>
      </c>
      <c r="B37" t="s">
        <v>274</v>
      </c>
      <c r="C37" s="1" t="s">
        <v>275</v>
      </c>
      <c r="D37" t="s">
        <v>60</v>
      </c>
      <c r="E37" t="s">
        <v>276</v>
      </c>
      <c r="G37">
        <v>170</v>
      </c>
      <c r="H37">
        <v>100</v>
      </c>
      <c r="I37">
        <v>70</v>
      </c>
      <c r="J37">
        <v>0</v>
      </c>
    </row>
    <row r="38" spans="1:10" x14ac:dyDescent="0.3">
      <c r="A38">
        <v>37</v>
      </c>
      <c r="B38" t="s">
        <v>338</v>
      </c>
      <c r="C38" s="1" t="s">
        <v>339</v>
      </c>
      <c r="D38" t="s">
        <v>48</v>
      </c>
      <c r="E38" t="s">
        <v>340</v>
      </c>
      <c r="G38">
        <v>168</v>
      </c>
      <c r="H38">
        <v>100</v>
      </c>
      <c r="I38">
        <v>48</v>
      </c>
      <c r="J38">
        <v>20</v>
      </c>
    </row>
    <row r="39" spans="1:10" x14ac:dyDescent="0.3">
      <c r="A39">
        <v>37</v>
      </c>
      <c r="B39" t="s">
        <v>202</v>
      </c>
      <c r="C39" s="1" t="s">
        <v>203</v>
      </c>
      <c r="D39" t="s">
        <v>81</v>
      </c>
      <c r="E39" t="s">
        <v>204</v>
      </c>
      <c r="G39">
        <v>168</v>
      </c>
      <c r="H39">
        <v>100</v>
      </c>
      <c r="I39">
        <v>58</v>
      </c>
      <c r="J39">
        <v>10</v>
      </c>
    </row>
    <row r="40" spans="1:10" x14ac:dyDescent="0.3">
      <c r="A40">
        <v>39</v>
      </c>
      <c r="B40" t="s">
        <v>18</v>
      </c>
      <c r="C40" s="1" t="s">
        <v>19</v>
      </c>
      <c r="D40" t="s">
        <v>20</v>
      </c>
      <c r="E40" t="s">
        <v>21</v>
      </c>
      <c r="G40">
        <v>164</v>
      </c>
      <c r="H40">
        <v>100</v>
      </c>
      <c r="I40">
        <v>64</v>
      </c>
      <c r="J40">
        <v>0</v>
      </c>
    </row>
    <row r="41" spans="1:10" x14ac:dyDescent="0.3">
      <c r="A41">
        <v>39</v>
      </c>
      <c r="B41" t="s">
        <v>91</v>
      </c>
      <c r="C41" s="1" t="s">
        <v>92</v>
      </c>
      <c r="D41" t="s">
        <v>12</v>
      </c>
      <c r="E41" t="s">
        <v>93</v>
      </c>
      <c r="G41">
        <v>164</v>
      </c>
      <c r="H41">
        <v>90</v>
      </c>
      <c r="I41">
        <v>74</v>
      </c>
      <c r="J41">
        <v>0</v>
      </c>
    </row>
    <row r="42" spans="1:10" x14ac:dyDescent="0.3">
      <c r="A42">
        <v>41</v>
      </c>
      <c r="B42" t="s">
        <v>120</v>
      </c>
      <c r="C42" s="1" t="s">
        <v>121</v>
      </c>
      <c r="D42" t="s">
        <v>122</v>
      </c>
      <c r="E42" t="s">
        <v>123</v>
      </c>
      <c r="G42">
        <v>163</v>
      </c>
      <c r="H42">
        <v>100</v>
      </c>
      <c r="I42">
        <v>48</v>
      </c>
      <c r="J42">
        <v>15</v>
      </c>
    </row>
    <row r="43" spans="1:10" x14ac:dyDescent="0.3">
      <c r="A43">
        <v>42</v>
      </c>
      <c r="B43" t="s">
        <v>180</v>
      </c>
      <c r="C43" s="1" t="s">
        <v>181</v>
      </c>
      <c r="D43" t="s">
        <v>178</v>
      </c>
      <c r="E43" t="s">
        <v>182</v>
      </c>
      <c r="G43">
        <v>162</v>
      </c>
      <c r="H43">
        <v>100</v>
      </c>
      <c r="I43">
        <v>32</v>
      </c>
      <c r="J43">
        <v>30</v>
      </c>
    </row>
    <row r="44" spans="1:10" x14ac:dyDescent="0.3">
      <c r="A44">
        <v>42</v>
      </c>
      <c r="B44" t="s">
        <v>310</v>
      </c>
      <c r="C44" s="1" t="s">
        <v>311</v>
      </c>
      <c r="D44" t="s">
        <v>89</v>
      </c>
      <c r="E44" t="s">
        <v>312</v>
      </c>
      <c r="G44">
        <v>162</v>
      </c>
      <c r="H44">
        <v>100</v>
      </c>
      <c r="I44">
        <v>32</v>
      </c>
      <c r="J44">
        <v>30</v>
      </c>
    </row>
    <row r="45" spans="1:10" x14ac:dyDescent="0.3">
      <c r="A45">
        <v>42</v>
      </c>
      <c r="B45" t="s">
        <v>371</v>
      </c>
      <c r="C45" s="1" t="s">
        <v>372</v>
      </c>
      <c r="D45" t="s">
        <v>178</v>
      </c>
      <c r="E45" t="s">
        <v>373</v>
      </c>
      <c r="G45">
        <v>162</v>
      </c>
      <c r="H45">
        <v>100</v>
      </c>
      <c r="I45">
        <v>32</v>
      </c>
      <c r="J45">
        <v>30</v>
      </c>
    </row>
    <row r="46" spans="1:10" x14ac:dyDescent="0.3">
      <c r="A46">
        <v>42</v>
      </c>
      <c r="B46" t="s">
        <v>335</v>
      </c>
      <c r="C46" s="1" t="s">
        <v>336</v>
      </c>
      <c r="D46" t="s">
        <v>16</v>
      </c>
      <c r="E46" t="s">
        <v>337</v>
      </c>
      <c r="G46">
        <v>162</v>
      </c>
      <c r="H46">
        <v>100</v>
      </c>
      <c r="I46">
        <v>32</v>
      </c>
      <c r="J46">
        <v>30</v>
      </c>
    </row>
    <row r="47" spans="1:10" x14ac:dyDescent="0.3">
      <c r="A47">
        <v>42</v>
      </c>
      <c r="B47" t="s">
        <v>400</v>
      </c>
      <c r="C47" s="1" t="s">
        <v>401</v>
      </c>
      <c r="D47" t="s">
        <v>89</v>
      </c>
      <c r="E47" t="s">
        <v>402</v>
      </c>
      <c r="G47">
        <v>162</v>
      </c>
      <c r="H47">
        <v>100</v>
      </c>
      <c r="I47">
        <v>32</v>
      </c>
      <c r="J47">
        <v>30</v>
      </c>
    </row>
    <row r="48" spans="1:10" x14ac:dyDescent="0.3">
      <c r="A48">
        <v>42</v>
      </c>
      <c r="B48" t="s">
        <v>427</v>
      </c>
      <c r="C48" s="1" t="s">
        <v>428</v>
      </c>
      <c r="D48" t="s">
        <v>254</v>
      </c>
      <c r="E48" t="s">
        <v>429</v>
      </c>
      <c r="G48">
        <v>162</v>
      </c>
      <c r="H48">
        <v>100</v>
      </c>
      <c r="I48">
        <v>32</v>
      </c>
      <c r="J48">
        <v>30</v>
      </c>
    </row>
    <row r="49" spans="1:10" x14ac:dyDescent="0.3">
      <c r="A49">
        <v>42</v>
      </c>
      <c r="B49" t="s">
        <v>326</v>
      </c>
      <c r="C49" s="1" t="s">
        <v>327</v>
      </c>
      <c r="D49" t="s">
        <v>223</v>
      </c>
      <c r="E49" t="s">
        <v>328</v>
      </c>
      <c r="G49">
        <v>162</v>
      </c>
      <c r="H49">
        <v>100</v>
      </c>
      <c r="I49">
        <v>32</v>
      </c>
      <c r="J49">
        <v>30</v>
      </c>
    </row>
    <row r="50" spans="1:10" x14ac:dyDescent="0.3">
      <c r="A50">
        <v>42</v>
      </c>
      <c r="B50" t="s">
        <v>234</v>
      </c>
      <c r="C50" s="1" t="s">
        <v>235</v>
      </c>
      <c r="D50" t="s">
        <v>20</v>
      </c>
      <c r="E50" t="s">
        <v>236</v>
      </c>
      <c r="G50">
        <v>162</v>
      </c>
      <c r="H50">
        <v>100</v>
      </c>
      <c r="I50">
        <v>32</v>
      </c>
      <c r="J50">
        <v>30</v>
      </c>
    </row>
    <row r="51" spans="1:10" x14ac:dyDescent="0.3">
      <c r="A51">
        <v>42</v>
      </c>
      <c r="B51" t="s">
        <v>43</v>
      </c>
      <c r="C51" s="1" t="s">
        <v>44</v>
      </c>
      <c r="D51" t="s">
        <v>24</v>
      </c>
      <c r="E51" t="s">
        <v>45</v>
      </c>
      <c r="G51">
        <v>162</v>
      </c>
      <c r="H51">
        <v>100</v>
      </c>
      <c r="I51">
        <v>32</v>
      </c>
      <c r="J51">
        <v>30</v>
      </c>
    </row>
    <row r="52" spans="1:10" x14ac:dyDescent="0.3">
      <c r="A52">
        <v>51</v>
      </c>
      <c r="B52" t="s">
        <v>211</v>
      </c>
      <c r="C52" s="1" t="s">
        <v>212</v>
      </c>
      <c r="D52" t="s">
        <v>147</v>
      </c>
      <c r="E52" t="s">
        <v>213</v>
      </c>
      <c r="G52">
        <v>161</v>
      </c>
      <c r="H52">
        <v>100</v>
      </c>
      <c r="I52">
        <v>61</v>
      </c>
      <c r="J52">
        <v>0</v>
      </c>
    </row>
    <row r="53" spans="1:10" x14ac:dyDescent="0.3">
      <c r="A53">
        <v>51</v>
      </c>
      <c r="B53" t="s">
        <v>482</v>
      </c>
      <c r="C53" s="1" t="s">
        <v>483</v>
      </c>
      <c r="D53" t="s">
        <v>24</v>
      </c>
      <c r="E53" t="s">
        <v>484</v>
      </c>
      <c r="G53">
        <v>161</v>
      </c>
      <c r="H53">
        <v>90</v>
      </c>
      <c r="I53">
        <v>66</v>
      </c>
      <c r="J53">
        <v>5</v>
      </c>
    </row>
    <row r="54" spans="1:10" x14ac:dyDescent="0.3">
      <c r="A54">
        <v>53</v>
      </c>
      <c r="B54" t="s">
        <v>246</v>
      </c>
      <c r="C54" s="1" t="s">
        <v>247</v>
      </c>
      <c r="D54" t="s">
        <v>178</v>
      </c>
      <c r="E54" t="s">
        <v>248</v>
      </c>
      <c r="G54">
        <v>158</v>
      </c>
      <c r="H54">
        <v>100</v>
      </c>
      <c r="I54">
        <v>48</v>
      </c>
      <c r="J54">
        <v>10</v>
      </c>
    </row>
    <row r="55" spans="1:10" x14ac:dyDescent="0.3">
      <c r="A55">
        <v>53</v>
      </c>
      <c r="B55" t="s">
        <v>208</v>
      </c>
      <c r="C55" s="1" t="s">
        <v>209</v>
      </c>
      <c r="D55" t="s">
        <v>16</v>
      </c>
      <c r="E55" t="s">
        <v>210</v>
      </c>
      <c r="G55">
        <v>158</v>
      </c>
      <c r="H55">
        <v>100</v>
      </c>
      <c r="I55">
        <v>48</v>
      </c>
      <c r="J55">
        <v>10</v>
      </c>
    </row>
    <row r="56" spans="1:10" x14ac:dyDescent="0.3">
      <c r="A56">
        <v>53</v>
      </c>
      <c r="B56" t="s">
        <v>320</v>
      </c>
      <c r="C56" s="1" t="s">
        <v>321</v>
      </c>
      <c r="D56" t="s">
        <v>52</v>
      </c>
      <c r="E56" t="s">
        <v>322</v>
      </c>
      <c r="G56">
        <v>158</v>
      </c>
      <c r="H56">
        <v>100</v>
      </c>
      <c r="I56">
        <v>58</v>
      </c>
      <c r="J56">
        <v>0</v>
      </c>
    </row>
    <row r="57" spans="1:10" x14ac:dyDescent="0.3">
      <c r="A57">
        <v>53</v>
      </c>
      <c r="B57" t="s">
        <v>433</v>
      </c>
      <c r="C57" s="1" t="s">
        <v>434</v>
      </c>
      <c r="D57" t="s">
        <v>81</v>
      </c>
      <c r="E57" t="s">
        <v>435</v>
      </c>
      <c r="G57">
        <v>158</v>
      </c>
      <c r="H57">
        <v>100</v>
      </c>
      <c r="I57">
        <v>58</v>
      </c>
      <c r="J57">
        <v>0</v>
      </c>
    </row>
    <row r="58" spans="1:10" x14ac:dyDescent="0.3">
      <c r="A58">
        <v>53</v>
      </c>
      <c r="B58" t="s">
        <v>280</v>
      </c>
      <c r="C58" s="1" t="s">
        <v>281</v>
      </c>
      <c r="D58" t="s">
        <v>282</v>
      </c>
      <c r="E58" t="s">
        <v>283</v>
      </c>
      <c r="G58">
        <v>158</v>
      </c>
      <c r="H58">
        <v>100</v>
      </c>
      <c r="I58">
        <v>48</v>
      </c>
      <c r="J58">
        <v>10</v>
      </c>
    </row>
    <row r="59" spans="1:10" x14ac:dyDescent="0.3">
      <c r="A59">
        <v>53</v>
      </c>
      <c r="B59" t="s">
        <v>189</v>
      </c>
      <c r="C59" s="1" t="s">
        <v>190</v>
      </c>
      <c r="D59" t="s">
        <v>191</v>
      </c>
      <c r="E59" t="s">
        <v>192</v>
      </c>
      <c r="G59">
        <v>158</v>
      </c>
      <c r="H59">
        <v>100</v>
      </c>
      <c r="I59">
        <v>58</v>
      </c>
      <c r="J59">
        <v>0</v>
      </c>
    </row>
    <row r="60" spans="1:10" x14ac:dyDescent="0.3">
      <c r="A60">
        <v>53</v>
      </c>
      <c r="B60" t="s">
        <v>532</v>
      </c>
      <c r="C60" s="1" t="s">
        <v>533</v>
      </c>
      <c r="D60" t="s">
        <v>534</v>
      </c>
      <c r="E60" t="s">
        <v>535</v>
      </c>
      <c r="G60">
        <v>158</v>
      </c>
      <c r="H60">
        <v>100</v>
      </c>
      <c r="I60">
        <v>48</v>
      </c>
      <c r="J60">
        <v>10</v>
      </c>
    </row>
    <row r="61" spans="1:10" x14ac:dyDescent="0.3">
      <c r="A61">
        <v>53</v>
      </c>
      <c r="B61" t="s">
        <v>110</v>
      </c>
      <c r="C61" s="1" t="s">
        <v>111</v>
      </c>
      <c r="D61" t="s">
        <v>96</v>
      </c>
      <c r="E61" t="s">
        <v>112</v>
      </c>
      <c r="G61">
        <v>158</v>
      </c>
      <c r="H61">
        <v>100</v>
      </c>
      <c r="I61">
        <v>58</v>
      </c>
      <c r="J61">
        <v>0</v>
      </c>
    </row>
    <row r="62" spans="1:10" x14ac:dyDescent="0.3">
      <c r="A62">
        <v>53</v>
      </c>
      <c r="B62" t="s">
        <v>22</v>
      </c>
      <c r="C62" s="1" t="s">
        <v>23</v>
      </c>
      <c r="D62" t="s">
        <v>24</v>
      </c>
      <c r="E62" t="s">
        <v>25</v>
      </c>
      <c r="G62">
        <v>158</v>
      </c>
      <c r="H62">
        <v>100</v>
      </c>
      <c r="I62">
        <v>48</v>
      </c>
      <c r="J62">
        <v>10</v>
      </c>
    </row>
    <row r="63" spans="1:10" x14ac:dyDescent="0.3">
      <c r="A63">
        <v>62</v>
      </c>
      <c r="B63" t="s">
        <v>539</v>
      </c>
      <c r="C63" s="1" t="s">
        <v>540</v>
      </c>
      <c r="D63" t="s">
        <v>541</v>
      </c>
      <c r="E63" t="s">
        <v>542</v>
      </c>
      <c r="G63">
        <v>156</v>
      </c>
      <c r="H63">
        <v>100</v>
      </c>
      <c r="I63">
        <v>56</v>
      </c>
      <c r="J63">
        <v>0</v>
      </c>
    </row>
    <row r="64" spans="1:10" x14ac:dyDescent="0.3">
      <c r="A64">
        <v>63</v>
      </c>
      <c r="B64" t="s">
        <v>360</v>
      </c>
      <c r="C64" s="1" t="s">
        <v>361</v>
      </c>
      <c r="D64" t="s">
        <v>362</v>
      </c>
      <c r="E64" t="s">
        <v>363</v>
      </c>
      <c r="G64">
        <v>153</v>
      </c>
      <c r="H64">
        <v>95</v>
      </c>
      <c r="I64">
        <v>58</v>
      </c>
      <c r="J64">
        <v>0</v>
      </c>
    </row>
    <row r="65" spans="1:10" x14ac:dyDescent="0.3">
      <c r="A65">
        <v>64</v>
      </c>
      <c r="B65" t="s">
        <v>26</v>
      </c>
      <c r="C65" s="1" t="s">
        <v>27</v>
      </c>
      <c r="D65" t="s">
        <v>28</v>
      </c>
      <c r="E65" t="s">
        <v>29</v>
      </c>
      <c r="G65">
        <v>152</v>
      </c>
      <c r="H65">
        <v>100</v>
      </c>
      <c r="I65">
        <v>32</v>
      </c>
      <c r="J65">
        <v>20</v>
      </c>
    </row>
    <row r="66" spans="1:10" x14ac:dyDescent="0.3">
      <c r="A66">
        <v>64</v>
      </c>
      <c r="B66" t="s">
        <v>354</v>
      </c>
      <c r="C66" s="1" t="s">
        <v>355</v>
      </c>
      <c r="D66" t="s">
        <v>223</v>
      </c>
      <c r="E66" t="s">
        <v>356</v>
      </c>
      <c r="G66">
        <v>152</v>
      </c>
      <c r="H66">
        <v>100</v>
      </c>
      <c r="I66">
        <v>32</v>
      </c>
      <c r="J66">
        <v>20</v>
      </c>
    </row>
    <row r="67" spans="1:10" x14ac:dyDescent="0.3">
      <c r="A67">
        <v>64</v>
      </c>
      <c r="B67" t="s">
        <v>436</v>
      </c>
      <c r="C67" s="1" t="s">
        <v>437</v>
      </c>
      <c r="D67" t="s">
        <v>438</v>
      </c>
      <c r="E67" t="s">
        <v>439</v>
      </c>
      <c r="G67">
        <v>152</v>
      </c>
      <c r="H67">
        <v>100</v>
      </c>
      <c r="I67">
        <v>32</v>
      </c>
      <c r="J67">
        <v>20</v>
      </c>
    </row>
    <row r="68" spans="1:10" x14ac:dyDescent="0.3">
      <c r="A68">
        <v>64</v>
      </c>
      <c r="B68" t="s">
        <v>284</v>
      </c>
      <c r="C68" s="1" t="s">
        <v>285</v>
      </c>
      <c r="D68" t="s">
        <v>100</v>
      </c>
      <c r="E68" t="s">
        <v>286</v>
      </c>
      <c r="G68">
        <v>152</v>
      </c>
      <c r="H68">
        <v>100</v>
      </c>
      <c r="I68">
        <v>32</v>
      </c>
      <c r="J68">
        <v>20</v>
      </c>
    </row>
    <row r="69" spans="1:10" x14ac:dyDescent="0.3">
      <c r="A69">
        <v>68</v>
      </c>
      <c r="B69" t="s">
        <v>344</v>
      </c>
      <c r="C69" s="1" t="s">
        <v>345</v>
      </c>
      <c r="D69" t="s">
        <v>346</v>
      </c>
      <c r="E69" t="s">
        <v>347</v>
      </c>
      <c r="G69">
        <v>148</v>
      </c>
      <c r="H69">
        <v>100</v>
      </c>
      <c r="I69">
        <v>48</v>
      </c>
      <c r="J69">
        <v>0</v>
      </c>
    </row>
    <row r="70" spans="1:10" x14ac:dyDescent="0.3">
      <c r="A70">
        <v>68</v>
      </c>
      <c r="B70" t="s">
        <v>173</v>
      </c>
      <c r="C70" s="1" t="s">
        <v>174</v>
      </c>
      <c r="D70" t="s">
        <v>133</v>
      </c>
      <c r="E70" t="s">
        <v>175</v>
      </c>
      <c r="G70">
        <v>148</v>
      </c>
      <c r="H70">
        <v>100</v>
      </c>
      <c r="I70">
        <v>48</v>
      </c>
      <c r="J70">
        <v>0</v>
      </c>
    </row>
    <row r="71" spans="1:10" x14ac:dyDescent="0.3">
      <c r="A71">
        <v>68</v>
      </c>
      <c r="B71" t="s">
        <v>367</v>
      </c>
      <c r="C71" s="1" t="s">
        <v>368</v>
      </c>
      <c r="D71" t="s">
        <v>369</v>
      </c>
      <c r="E71" t="s">
        <v>370</v>
      </c>
      <c r="G71">
        <v>148</v>
      </c>
      <c r="H71">
        <v>100</v>
      </c>
      <c r="I71">
        <v>48</v>
      </c>
      <c r="J71">
        <v>0</v>
      </c>
    </row>
    <row r="72" spans="1:10" x14ac:dyDescent="0.3">
      <c r="A72">
        <v>71</v>
      </c>
      <c r="B72" t="s">
        <v>113</v>
      </c>
      <c r="C72" s="1" t="s">
        <v>114</v>
      </c>
      <c r="D72" t="s">
        <v>60</v>
      </c>
      <c r="E72" t="s">
        <v>115</v>
      </c>
      <c r="G72">
        <v>147</v>
      </c>
      <c r="H72">
        <v>95</v>
      </c>
      <c r="I72">
        <v>32</v>
      </c>
      <c r="J72">
        <v>20</v>
      </c>
    </row>
    <row r="73" spans="1:10" x14ac:dyDescent="0.3">
      <c r="A73">
        <v>72</v>
      </c>
      <c r="B73" t="s">
        <v>252</v>
      </c>
      <c r="C73" s="1" t="s">
        <v>253</v>
      </c>
      <c r="D73" t="s">
        <v>254</v>
      </c>
      <c r="E73" t="s">
        <v>255</v>
      </c>
      <c r="F73" t="s">
        <v>252</v>
      </c>
      <c r="G73">
        <v>145</v>
      </c>
      <c r="H73">
        <v>100</v>
      </c>
      <c r="I73">
        <v>45</v>
      </c>
      <c r="J73">
        <v>0</v>
      </c>
    </row>
    <row r="74" spans="1:10" x14ac:dyDescent="0.3">
      <c r="A74">
        <v>72</v>
      </c>
      <c r="B74" t="s">
        <v>157</v>
      </c>
      <c r="C74" s="1" t="s">
        <v>158</v>
      </c>
      <c r="D74" t="s">
        <v>81</v>
      </c>
      <c r="E74" t="s">
        <v>159</v>
      </c>
      <c r="G74">
        <v>145</v>
      </c>
      <c r="H74">
        <v>100</v>
      </c>
      <c r="I74">
        <v>45</v>
      </c>
      <c r="J74">
        <v>0</v>
      </c>
    </row>
    <row r="75" spans="1:10" x14ac:dyDescent="0.3">
      <c r="A75">
        <v>74</v>
      </c>
      <c r="B75" t="s">
        <v>153</v>
      </c>
      <c r="C75" s="1" t="s">
        <v>154</v>
      </c>
      <c r="D75" t="s">
        <v>155</v>
      </c>
      <c r="E75" t="s">
        <v>156</v>
      </c>
      <c r="G75">
        <v>143</v>
      </c>
      <c r="H75">
        <v>95</v>
      </c>
      <c r="I75">
        <v>48</v>
      </c>
      <c r="J75">
        <v>0</v>
      </c>
    </row>
    <row r="76" spans="1:10" x14ac:dyDescent="0.3">
      <c r="A76">
        <v>75</v>
      </c>
      <c r="B76" t="s">
        <v>563</v>
      </c>
      <c r="C76" s="1" t="s">
        <v>564</v>
      </c>
      <c r="D76" t="s">
        <v>216</v>
      </c>
      <c r="E76" t="s">
        <v>565</v>
      </c>
      <c r="G76">
        <v>142</v>
      </c>
      <c r="H76">
        <v>100</v>
      </c>
      <c r="I76">
        <v>32</v>
      </c>
      <c r="J76">
        <v>10</v>
      </c>
    </row>
    <row r="77" spans="1:10" x14ac:dyDescent="0.3">
      <c r="A77">
        <v>75</v>
      </c>
      <c r="B77" t="s">
        <v>341</v>
      </c>
      <c r="C77" s="1" t="s">
        <v>342</v>
      </c>
      <c r="D77" t="s">
        <v>147</v>
      </c>
      <c r="E77" t="s">
        <v>343</v>
      </c>
      <c r="G77">
        <v>142</v>
      </c>
      <c r="H77">
        <v>100</v>
      </c>
      <c r="I77">
        <v>32</v>
      </c>
      <c r="J77">
        <v>10</v>
      </c>
    </row>
    <row r="78" spans="1:10" x14ac:dyDescent="0.3">
      <c r="A78">
        <v>75</v>
      </c>
      <c r="B78" t="s">
        <v>225</v>
      </c>
      <c r="C78" s="1" t="s">
        <v>226</v>
      </c>
      <c r="E78" t="s">
        <v>227</v>
      </c>
      <c r="G78">
        <v>142</v>
      </c>
      <c r="H78">
        <v>100</v>
      </c>
      <c r="I78">
        <v>32</v>
      </c>
      <c r="J78">
        <v>10</v>
      </c>
    </row>
    <row r="79" spans="1:10" x14ac:dyDescent="0.3">
      <c r="A79">
        <v>75</v>
      </c>
      <c r="B79" t="s">
        <v>277</v>
      </c>
      <c r="C79" s="1" t="s">
        <v>278</v>
      </c>
      <c r="D79" t="s">
        <v>60</v>
      </c>
      <c r="E79" t="s">
        <v>279</v>
      </c>
      <c r="G79">
        <v>142</v>
      </c>
      <c r="H79">
        <v>100</v>
      </c>
      <c r="I79">
        <v>32</v>
      </c>
      <c r="J79">
        <v>10</v>
      </c>
    </row>
    <row r="80" spans="1:10" x14ac:dyDescent="0.3">
      <c r="A80">
        <v>75</v>
      </c>
      <c r="B80" t="s">
        <v>476</v>
      </c>
      <c r="C80" s="1" t="s">
        <v>477</v>
      </c>
      <c r="D80" t="s">
        <v>81</v>
      </c>
      <c r="E80" t="s">
        <v>478</v>
      </c>
      <c r="G80">
        <v>142</v>
      </c>
      <c r="H80">
        <v>100</v>
      </c>
      <c r="I80">
        <v>32</v>
      </c>
      <c r="J80">
        <v>10</v>
      </c>
    </row>
    <row r="81" spans="1:10" x14ac:dyDescent="0.3">
      <c r="A81">
        <v>75</v>
      </c>
      <c r="B81" t="s">
        <v>186</v>
      </c>
      <c r="C81" s="1" t="s">
        <v>187</v>
      </c>
      <c r="D81" t="s">
        <v>81</v>
      </c>
      <c r="E81" t="s">
        <v>188</v>
      </c>
      <c r="G81">
        <v>142</v>
      </c>
      <c r="H81">
        <v>100</v>
      </c>
      <c r="I81">
        <v>32</v>
      </c>
      <c r="J81">
        <v>10</v>
      </c>
    </row>
    <row r="82" spans="1:10" x14ac:dyDescent="0.3">
      <c r="A82">
        <v>81</v>
      </c>
      <c r="B82" t="s">
        <v>374</v>
      </c>
      <c r="C82" s="1" t="s">
        <v>375</v>
      </c>
      <c r="D82" t="s">
        <v>24</v>
      </c>
      <c r="E82" t="s">
        <v>376</v>
      </c>
      <c r="G82">
        <v>135</v>
      </c>
      <c r="H82">
        <v>100</v>
      </c>
      <c r="I82">
        <v>35</v>
      </c>
      <c r="J82">
        <v>0</v>
      </c>
    </row>
    <row r="83" spans="1:10" x14ac:dyDescent="0.3">
      <c r="A83">
        <v>82</v>
      </c>
      <c r="B83" t="s">
        <v>299</v>
      </c>
      <c r="C83" s="1" t="s">
        <v>300</v>
      </c>
      <c r="D83" t="s">
        <v>301</v>
      </c>
      <c r="E83" t="s">
        <v>302</v>
      </c>
      <c r="G83">
        <v>132</v>
      </c>
      <c r="H83">
        <v>100</v>
      </c>
      <c r="I83">
        <v>32</v>
      </c>
      <c r="J83">
        <v>0</v>
      </c>
    </row>
    <row r="84" spans="1:10" x14ac:dyDescent="0.3">
      <c r="A84">
        <v>82</v>
      </c>
      <c r="B84" t="s">
        <v>243</v>
      </c>
      <c r="C84" s="1" t="s">
        <v>244</v>
      </c>
      <c r="D84" t="s">
        <v>191</v>
      </c>
      <c r="E84" t="s">
        <v>245</v>
      </c>
      <c r="G84">
        <v>132</v>
      </c>
      <c r="H84">
        <v>100</v>
      </c>
      <c r="I84">
        <v>32</v>
      </c>
      <c r="J84">
        <v>0</v>
      </c>
    </row>
    <row r="85" spans="1:10" x14ac:dyDescent="0.3">
      <c r="A85">
        <v>82</v>
      </c>
      <c r="B85" t="s">
        <v>444</v>
      </c>
      <c r="C85" s="1" t="s">
        <v>445</v>
      </c>
      <c r="D85" t="s">
        <v>223</v>
      </c>
      <c r="E85" t="s">
        <v>446</v>
      </c>
      <c r="G85">
        <v>132</v>
      </c>
      <c r="H85">
        <v>100</v>
      </c>
      <c r="I85">
        <v>32</v>
      </c>
      <c r="J85">
        <v>0</v>
      </c>
    </row>
    <row r="86" spans="1:10" x14ac:dyDescent="0.3">
      <c r="A86">
        <v>82</v>
      </c>
      <c r="B86" t="s">
        <v>14</v>
      </c>
      <c r="C86" s="1" t="s">
        <v>15</v>
      </c>
      <c r="D86" t="s">
        <v>16</v>
      </c>
      <c r="E86" t="s">
        <v>17</v>
      </c>
      <c r="G86">
        <v>132</v>
      </c>
      <c r="H86">
        <v>100</v>
      </c>
      <c r="I86">
        <v>32</v>
      </c>
      <c r="J86">
        <v>0</v>
      </c>
    </row>
    <row r="87" spans="1:10" x14ac:dyDescent="0.3">
      <c r="A87">
        <v>82</v>
      </c>
      <c r="B87" t="s">
        <v>381</v>
      </c>
      <c r="C87" s="1" t="s">
        <v>382</v>
      </c>
      <c r="D87" t="s">
        <v>383</v>
      </c>
      <c r="E87" t="s">
        <v>384</v>
      </c>
      <c r="G87">
        <v>132</v>
      </c>
      <c r="H87">
        <v>100</v>
      </c>
      <c r="I87">
        <v>32</v>
      </c>
      <c r="J87">
        <v>0</v>
      </c>
    </row>
    <row r="88" spans="1:10" x14ac:dyDescent="0.3">
      <c r="A88">
        <v>82</v>
      </c>
      <c r="B88" t="s">
        <v>510</v>
      </c>
      <c r="C88" s="1" t="s">
        <v>511</v>
      </c>
      <c r="D88" t="s">
        <v>425</v>
      </c>
      <c r="E88" t="s">
        <v>512</v>
      </c>
      <c r="G88">
        <v>132</v>
      </c>
      <c r="H88">
        <v>100</v>
      </c>
      <c r="I88">
        <v>32</v>
      </c>
      <c r="J88">
        <v>0</v>
      </c>
    </row>
    <row r="89" spans="1:10" x14ac:dyDescent="0.3">
      <c r="A89">
        <v>82</v>
      </c>
      <c r="B89" t="s">
        <v>240</v>
      </c>
      <c r="C89" s="1" t="s">
        <v>241</v>
      </c>
      <c r="D89" t="s">
        <v>108</v>
      </c>
      <c r="E89" t="s">
        <v>242</v>
      </c>
      <c r="G89">
        <v>132</v>
      </c>
      <c r="H89">
        <v>100</v>
      </c>
      <c r="I89">
        <v>32</v>
      </c>
      <c r="J89">
        <v>0</v>
      </c>
    </row>
    <row r="90" spans="1:10" x14ac:dyDescent="0.3">
      <c r="A90">
        <v>82</v>
      </c>
      <c r="B90" t="s">
        <v>357</v>
      </c>
      <c r="C90" s="1" t="s">
        <v>358</v>
      </c>
      <c r="D90" t="s">
        <v>68</v>
      </c>
      <c r="E90" t="s">
        <v>359</v>
      </c>
      <c r="G90">
        <v>132</v>
      </c>
      <c r="H90">
        <v>100</v>
      </c>
      <c r="I90">
        <v>32</v>
      </c>
      <c r="J90">
        <v>0</v>
      </c>
    </row>
    <row r="91" spans="1:10" x14ac:dyDescent="0.3">
      <c r="A91">
        <v>82</v>
      </c>
      <c r="B91" t="s">
        <v>145</v>
      </c>
      <c r="C91" s="1" t="s">
        <v>146</v>
      </c>
      <c r="D91" t="s">
        <v>147</v>
      </c>
      <c r="E91" t="s">
        <v>148</v>
      </c>
      <c r="G91">
        <v>132</v>
      </c>
      <c r="H91">
        <v>100</v>
      </c>
      <c r="I91">
        <v>32</v>
      </c>
      <c r="J91">
        <v>0</v>
      </c>
    </row>
    <row r="92" spans="1:10" x14ac:dyDescent="0.3">
      <c r="A92">
        <v>82</v>
      </c>
      <c r="B92" t="s">
        <v>406</v>
      </c>
      <c r="C92" s="1" t="s">
        <v>407</v>
      </c>
      <c r="D92" t="s">
        <v>178</v>
      </c>
      <c r="E92" t="s">
        <v>408</v>
      </c>
      <c r="G92">
        <v>132</v>
      </c>
      <c r="H92">
        <v>100</v>
      </c>
      <c r="I92">
        <v>32</v>
      </c>
      <c r="J92">
        <v>0</v>
      </c>
    </row>
    <row r="93" spans="1:10" x14ac:dyDescent="0.3">
      <c r="A93">
        <v>82</v>
      </c>
      <c r="B93" t="s">
        <v>403</v>
      </c>
      <c r="C93" s="1" t="s">
        <v>404</v>
      </c>
      <c r="D93" t="s">
        <v>28</v>
      </c>
      <c r="E93" t="s">
        <v>405</v>
      </c>
      <c r="G93">
        <v>132</v>
      </c>
      <c r="H93">
        <v>100</v>
      </c>
      <c r="I93">
        <v>32</v>
      </c>
      <c r="J93">
        <v>0</v>
      </c>
    </row>
    <row r="94" spans="1:10" x14ac:dyDescent="0.3">
      <c r="A94">
        <v>82</v>
      </c>
      <c r="B94" t="s">
        <v>317</v>
      </c>
      <c r="C94" s="1" t="s">
        <v>318</v>
      </c>
      <c r="D94" t="s">
        <v>178</v>
      </c>
      <c r="E94" t="s">
        <v>319</v>
      </c>
      <c r="G94">
        <v>132</v>
      </c>
      <c r="H94">
        <v>100</v>
      </c>
      <c r="I94">
        <v>32</v>
      </c>
      <c r="J94">
        <v>0</v>
      </c>
    </row>
    <row r="95" spans="1:10" x14ac:dyDescent="0.3">
      <c r="A95">
        <v>82</v>
      </c>
      <c r="B95" t="s">
        <v>546</v>
      </c>
      <c r="C95" s="1" t="s">
        <v>547</v>
      </c>
      <c r="D95" t="s">
        <v>548</v>
      </c>
      <c r="E95" t="s">
        <v>549</v>
      </c>
      <c r="G95">
        <v>132</v>
      </c>
      <c r="H95">
        <v>100</v>
      </c>
      <c r="I95">
        <v>32</v>
      </c>
      <c r="J95">
        <v>0</v>
      </c>
    </row>
    <row r="96" spans="1:10" x14ac:dyDescent="0.3">
      <c r="A96">
        <v>82</v>
      </c>
      <c r="B96" t="s">
        <v>135</v>
      </c>
      <c r="C96" s="1" t="s">
        <v>136</v>
      </c>
      <c r="D96" t="s">
        <v>28</v>
      </c>
      <c r="E96" t="s">
        <v>137</v>
      </c>
      <c r="G96">
        <v>132</v>
      </c>
      <c r="H96">
        <v>100</v>
      </c>
      <c r="I96">
        <v>32</v>
      </c>
      <c r="J96">
        <v>0</v>
      </c>
    </row>
    <row r="97" spans="1:10" x14ac:dyDescent="0.3">
      <c r="A97">
        <v>82</v>
      </c>
      <c r="B97" t="s">
        <v>249</v>
      </c>
      <c r="C97" s="1" t="s">
        <v>250</v>
      </c>
      <c r="D97" t="s">
        <v>191</v>
      </c>
      <c r="E97" t="s">
        <v>251</v>
      </c>
      <c r="G97">
        <v>132</v>
      </c>
      <c r="H97">
        <v>100</v>
      </c>
      <c r="I97">
        <v>32</v>
      </c>
      <c r="J97">
        <v>0</v>
      </c>
    </row>
    <row r="98" spans="1:10" x14ac:dyDescent="0.3">
      <c r="A98">
        <v>82</v>
      </c>
      <c r="B98" t="s">
        <v>473</v>
      </c>
      <c r="C98" s="1" t="s">
        <v>474</v>
      </c>
      <c r="D98" t="s">
        <v>100</v>
      </c>
      <c r="E98" t="s">
        <v>475</v>
      </c>
      <c r="G98">
        <v>132</v>
      </c>
      <c r="H98">
        <v>100</v>
      </c>
      <c r="I98">
        <v>32</v>
      </c>
      <c r="J98">
        <v>0</v>
      </c>
    </row>
    <row r="99" spans="1:10" x14ac:dyDescent="0.3">
      <c r="A99">
        <v>82</v>
      </c>
      <c r="B99" t="s">
        <v>73</v>
      </c>
      <c r="C99" s="1" t="s">
        <v>74</v>
      </c>
      <c r="D99" t="s">
        <v>28</v>
      </c>
      <c r="E99" t="s">
        <v>75</v>
      </c>
      <c r="G99">
        <v>132</v>
      </c>
      <c r="H99">
        <v>100</v>
      </c>
      <c r="I99">
        <v>32</v>
      </c>
      <c r="J99">
        <v>0</v>
      </c>
    </row>
    <row r="100" spans="1:10" x14ac:dyDescent="0.3">
      <c r="A100">
        <v>82</v>
      </c>
      <c r="B100" t="s">
        <v>536</v>
      </c>
      <c r="C100" s="1" t="s">
        <v>537</v>
      </c>
      <c r="D100" t="s">
        <v>191</v>
      </c>
      <c r="E100" t="s">
        <v>538</v>
      </c>
      <c r="G100">
        <v>132</v>
      </c>
      <c r="H100">
        <v>100</v>
      </c>
      <c r="I100">
        <v>32</v>
      </c>
      <c r="J100">
        <v>0</v>
      </c>
    </row>
    <row r="101" spans="1:10" x14ac:dyDescent="0.3">
      <c r="A101">
        <v>82</v>
      </c>
      <c r="B101" t="s">
        <v>463</v>
      </c>
      <c r="C101" s="1" t="s">
        <v>464</v>
      </c>
      <c r="D101" t="s">
        <v>191</v>
      </c>
      <c r="E101" t="s">
        <v>465</v>
      </c>
      <c r="G101">
        <v>132</v>
      </c>
      <c r="H101">
        <v>100</v>
      </c>
      <c r="I101">
        <v>32</v>
      </c>
      <c r="J101">
        <v>0</v>
      </c>
    </row>
    <row r="102" spans="1:10" x14ac:dyDescent="0.3">
      <c r="A102">
        <v>82</v>
      </c>
      <c r="B102" t="s">
        <v>453</v>
      </c>
      <c r="C102" s="1" t="s">
        <v>454</v>
      </c>
      <c r="D102" t="s">
        <v>81</v>
      </c>
      <c r="E102" t="s">
        <v>455</v>
      </c>
      <c r="G102">
        <v>132</v>
      </c>
      <c r="H102">
        <v>100</v>
      </c>
      <c r="I102">
        <v>32</v>
      </c>
      <c r="J102">
        <v>0</v>
      </c>
    </row>
    <row r="103" spans="1:10" x14ac:dyDescent="0.3">
      <c r="A103">
        <v>82</v>
      </c>
      <c r="B103" t="s">
        <v>526</v>
      </c>
      <c r="C103" s="1" t="s">
        <v>527</v>
      </c>
      <c r="D103" t="s">
        <v>81</v>
      </c>
      <c r="E103" t="s">
        <v>528</v>
      </c>
      <c r="G103">
        <v>132</v>
      </c>
      <c r="H103">
        <v>100</v>
      </c>
      <c r="I103">
        <v>32</v>
      </c>
      <c r="J103">
        <v>0</v>
      </c>
    </row>
    <row r="104" spans="1:10" x14ac:dyDescent="0.3">
      <c r="A104">
        <v>82</v>
      </c>
      <c r="B104" t="s">
        <v>269</v>
      </c>
      <c r="C104" s="1" t="s">
        <v>270</v>
      </c>
      <c r="D104" t="s">
        <v>81</v>
      </c>
      <c r="E104" t="s">
        <v>271</v>
      </c>
      <c r="G104">
        <v>132</v>
      </c>
      <c r="H104">
        <v>100</v>
      </c>
      <c r="I104">
        <v>32</v>
      </c>
      <c r="J104">
        <v>0</v>
      </c>
    </row>
    <row r="105" spans="1:10" x14ac:dyDescent="0.3">
      <c r="A105">
        <v>104</v>
      </c>
      <c r="B105" t="s">
        <v>364</v>
      </c>
      <c r="C105" s="1" t="s">
        <v>365</v>
      </c>
      <c r="D105" t="s">
        <v>12</v>
      </c>
      <c r="E105" t="s">
        <v>366</v>
      </c>
      <c r="G105">
        <v>130</v>
      </c>
      <c r="H105">
        <v>100</v>
      </c>
      <c r="I105">
        <v>0</v>
      </c>
      <c r="J105">
        <v>30</v>
      </c>
    </row>
    <row r="106" spans="1:10" x14ac:dyDescent="0.3">
      <c r="A106">
        <v>104</v>
      </c>
      <c r="B106" t="s">
        <v>491</v>
      </c>
      <c r="C106" s="1" t="s">
        <v>492</v>
      </c>
      <c r="D106" t="s">
        <v>178</v>
      </c>
      <c r="E106" t="s">
        <v>493</v>
      </c>
      <c r="G106">
        <v>130</v>
      </c>
      <c r="H106">
        <v>100</v>
      </c>
      <c r="I106">
        <v>0</v>
      </c>
      <c r="J106">
        <v>30</v>
      </c>
    </row>
    <row r="107" spans="1:10" x14ac:dyDescent="0.3">
      <c r="A107">
        <v>106</v>
      </c>
      <c r="B107" t="s">
        <v>196</v>
      </c>
      <c r="C107" s="1" t="s">
        <v>197</v>
      </c>
      <c r="D107" t="s">
        <v>20</v>
      </c>
      <c r="E107" t="s">
        <v>198</v>
      </c>
      <c r="G107">
        <v>128</v>
      </c>
      <c r="H107">
        <v>100</v>
      </c>
      <c r="I107">
        <v>28</v>
      </c>
      <c r="J107">
        <v>0</v>
      </c>
    </row>
    <row r="108" spans="1:10" x14ac:dyDescent="0.3">
      <c r="A108">
        <v>106</v>
      </c>
      <c r="B108" t="s">
        <v>488</v>
      </c>
      <c r="C108" s="1" t="s">
        <v>489</v>
      </c>
      <c r="D108" t="s">
        <v>362</v>
      </c>
      <c r="E108" t="s">
        <v>490</v>
      </c>
      <c r="G108">
        <v>128</v>
      </c>
      <c r="H108">
        <v>100</v>
      </c>
      <c r="I108">
        <v>28</v>
      </c>
      <c r="J108">
        <v>0</v>
      </c>
    </row>
    <row r="109" spans="1:10" x14ac:dyDescent="0.3">
      <c r="A109">
        <v>108</v>
      </c>
      <c r="B109" t="s">
        <v>412</v>
      </c>
      <c r="C109" s="1" t="s">
        <v>413</v>
      </c>
      <c r="D109" t="s">
        <v>414</v>
      </c>
      <c r="E109" t="s">
        <v>415</v>
      </c>
      <c r="G109">
        <v>127</v>
      </c>
      <c r="H109">
        <v>95</v>
      </c>
      <c r="I109">
        <v>32</v>
      </c>
      <c r="J109">
        <v>0</v>
      </c>
    </row>
    <row r="110" spans="1:10" x14ac:dyDescent="0.3">
      <c r="A110">
        <v>109</v>
      </c>
      <c r="B110" t="s">
        <v>214</v>
      </c>
      <c r="C110" s="1" t="s">
        <v>215</v>
      </c>
      <c r="D110" t="s">
        <v>216</v>
      </c>
      <c r="E110" t="s">
        <v>217</v>
      </c>
      <c r="G110">
        <v>122</v>
      </c>
      <c r="H110">
        <v>100</v>
      </c>
      <c r="I110">
        <v>12</v>
      </c>
      <c r="J110">
        <v>10</v>
      </c>
    </row>
    <row r="111" spans="1:10" x14ac:dyDescent="0.3">
      <c r="A111">
        <v>109</v>
      </c>
      <c r="B111" t="s">
        <v>124</v>
      </c>
      <c r="C111" s="1" t="s">
        <v>125</v>
      </c>
      <c r="D111" t="s">
        <v>126</v>
      </c>
      <c r="E111" t="s">
        <v>127</v>
      </c>
      <c r="G111">
        <v>122</v>
      </c>
      <c r="H111">
        <v>100</v>
      </c>
      <c r="I111">
        <v>12</v>
      </c>
      <c r="J111">
        <v>10</v>
      </c>
    </row>
    <row r="112" spans="1:10" x14ac:dyDescent="0.3">
      <c r="A112">
        <v>111</v>
      </c>
      <c r="B112" t="s">
        <v>560</v>
      </c>
      <c r="C112" s="1" t="s">
        <v>561</v>
      </c>
      <c r="D112" t="s">
        <v>216</v>
      </c>
      <c r="E112" t="s">
        <v>562</v>
      </c>
      <c r="G112">
        <v>117</v>
      </c>
      <c r="H112">
        <v>85</v>
      </c>
      <c r="I112">
        <v>32</v>
      </c>
      <c r="J112">
        <v>0</v>
      </c>
    </row>
    <row r="113" spans="1:10" x14ac:dyDescent="0.3">
      <c r="A113">
        <v>111</v>
      </c>
      <c r="B113" t="s">
        <v>553</v>
      </c>
      <c r="C113" s="1" t="s">
        <v>554</v>
      </c>
      <c r="D113" t="s">
        <v>555</v>
      </c>
      <c r="E113" t="s">
        <v>556</v>
      </c>
      <c r="G113">
        <v>117</v>
      </c>
      <c r="H113">
        <v>85</v>
      </c>
      <c r="I113">
        <v>32</v>
      </c>
      <c r="J113">
        <v>0</v>
      </c>
    </row>
    <row r="114" spans="1:10" x14ac:dyDescent="0.3">
      <c r="A114">
        <v>113</v>
      </c>
      <c r="B114" t="s">
        <v>351</v>
      </c>
      <c r="C114" s="1" t="s">
        <v>352</v>
      </c>
      <c r="D114" t="s">
        <v>178</v>
      </c>
      <c r="E114" t="s">
        <v>353</v>
      </c>
      <c r="G114">
        <v>113</v>
      </c>
      <c r="H114">
        <v>55</v>
      </c>
      <c r="I114">
        <v>48</v>
      </c>
      <c r="J114">
        <v>10</v>
      </c>
    </row>
    <row r="115" spans="1:10" x14ac:dyDescent="0.3">
      <c r="A115">
        <v>114</v>
      </c>
      <c r="B115" t="s">
        <v>237</v>
      </c>
      <c r="C115" s="1" t="s">
        <v>238</v>
      </c>
      <c r="D115" t="s">
        <v>216</v>
      </c>
      <c r="E115" t="s">
        <v>239</v>
      </c>
      <c r="G115">
        <v>112</v>
      </c>
      <c r="H115">
        <v>100</v>
      </c>
      <c r="I115">
        <v>12</v>
      </c>
      <c r="J115">
        <v>0</v>
      </c>
    </row>
    <row r="116" spans="1:10" x14ac:dyDescent="0.3">
      <c r="A116">
        <v>115</v>
      </c>
      <c r="B116" t="s">
        <v>388</v>
      </c>
      <c r="C116" s="1" t="s">
        <v>389</v>
      </c>
      <c r="D116" t="s">
        <v>191</v>
      </c>
      <c r="E116" t="s">
        <v>390</v>
      </c>
      <c r="G116">
        <v>110</v>
      </c>
      <c r="H116">
        <v>100</v>
      </c>
      <c r="I116">
        <v>0</v>
      </c>
      <c r="J116">
        <v>10</v>
      </c>
    </row>
    <row r="117" spans="1:10" x14ac:dyDescent="0.3">
      <c r="A117">
        <v>116</v>
      </c>
      <c r="B117" t="s">
        <v>385</v>
      </c>
      <c r="C117" s="1" t="s">
        <v>386</v>
      </c>
      <c r="D117" t="s">
        <v>346</v>
      </c>
      <c r="E117" t="s">
        <v>387</v>
      </c>
      <c r="G117">
        <v>108</v>
      </c>
      <c r="H117">
        <v>100</v>
      </c>
      <c r="I117">
        <v>8</v>
      </c>
      <c r="J117">
        <v>0</v>
      </c>
    </row>
    <row r="118" spans="1:10" x14ac:dyDescent="0.3">
      <c r="A118">
        <v>117</v>
      </c>
      <c r="B118" t="s">
        <v>293</v>
      </c>
      <c r="C118" s="1" t="s">
        <v>294</v>
      </c>
      <c r="D118" t="s">
        <v>216</v>
      </c>
      <c r="E118" t="s">
        <v>295</v>
      </c>
      <c r="G118">
        <v>107</v>
      </c>
      <c r="H118">
        <v>75</v>
      </c>
      <c r="I118">
        <v>32</v>
      </c>
      <c r="J118">
        <v>0</v>
      </c>
    </row>
    <row r="119" spans="1:10" x14ac:dyDescent="0.3">
      <c r="A119">
        <v>118</v>
      </c>
      <c r="B119" t="s">
        <v>519</v>
      </c>
      <c r="C119" s="1" t="s">
        <v>520</v>
      </c>
      <c r="D119" t="s">
        <v>521</v>
      </c>
      <c r="E119" t="s">
        <v>522</v>
      </c>
      <c r="G119">
        <v>105</v>
      </c>
      <c r="H119">
        <v>5</v>
      </c>
      <c r="I119">
        <v>100</v>
      </c>
      <c r="J119">
        <v>0</v>
      </c>
    </row>
    <row r="120" spans="1:10" x14ac:dyDescent="0.3">
      <c r="A120">
        <v>118</v>
      </c>
      <c r="B120" t="s">
        <v>102</v>
      </c>
      <c r="C120" s="1" t="s">
        <v>103</v>
      </c>
      <c r="D120" t="s">
        <v>104</v>
      </c>
      <c r="E120" t="s">
        <v>105</v>
      </c>
      <c r="G120">
        <v>105</v>
      </c>
      <c r="H120">
        <v>100</v>
      </c>
      <c r="I120">
        <v>0</v>
      </c>
      <c r="J120">
        <v>5</v>
      </c>
    </row>
    <row r="121" spans="1:10" x14ac:dyDescent="0.3">
      <c r="A121">
        <v>120</v>
      </c>
      <c r="B121" t="s">
        <v>313</v>
      </c>
      <c r="C121" s="1" t="s">
        <v>314</v>
      </c>
      <c r="D121" t="s">
        <v>315</v>
      </c>
      <c r="E121" t="s">
        <v>316</v>
      </c>
      <c r="G121">
        <v>102</v>
      </c>
      <c r="H121">
        <v>60</v>
      </c>
      <c r="I121">
        <v>32</v>
      </c>
      <c r="J121">
        <v>10</v>
      </c>
    </row>
    <row r="122" spans="1:10" x14ac:dyDescent="0.3">
      <c r="A122">
        <v>121</v>
      </c>
      <c r="B122" t="s">
        <v>440</v>
      </c>
      <c r="C122" s="1" t="s">
        <v>441</v>
      </c>
      <c r="D122" t="s">
        <v>442</v>
      </c>
      <c r="E122" t="s">
        <v>443</v>
      </c>
      <c r="G122">
        <v>100</v>
      </c>
      <c r="H122">
        <v>100</v>
      </c>
      <c r="I122">
        <v>0</v>
      </c>
      <c r="J122">
        <v>0</v>
      </c>
    </row>
    <row r="123" spans="1:10" x14ac:dyDescent="0.3">
      <c r="A123">
        <v>121</v>
      </c>
      <c r="B123" t="s">
        <v>500</v>
      </c>
      <c r="C123" s="1" t="s">
        <v>501</v>
      </c>
      <c r="D123" t="s">
        <v>502</v>
      </c>
      <c r="E123" t="s">
        <v>503</v>
      </c>
      <c r="G123">
        <v>100</v>
      </c>
      <c r="H123">
        <v>100</v>
      </c>
      <c r="I123">
        <v>0</v>
      </c>
      <c r="J123">
        <v>0</v>
      </c>
    </row>
    <row r="124" spans="1:10" x14ac:dyDescent="0.3">
      <c r="A124">
        <v>121</v>
      </c>
      <c r="B124" t="s">
        <v>416</v>
      </c>
      <c r="C124" s="1" t="s">
        <v>417</v>
      </c>
      <c r="D124" t="s">
        <v>418</v>
      </c>
      <c r="E124" t="s">
        <v>419</v>
      </c>
      <c r="G124">
        <v>100</v>
      </c>
      <c r="H124">
        <v>100</v>
      </c>
      <c r="I124">
        <v>0</v>
      </c>
      <c r="J124">
        <v>0</v>
      </c>
    </row>
    <row r="125" spans="1:10" x14ac:dyDescent="0.3">
      <c r="A125">
        <v>121</v>
      </c>
      <c r="B125" t="s">
        <v>87</v>
      </c>
      <c r="C125" s="1" t="s">
        <v>88</v>
      </c>
      <c r="D125" t="s">
        <v>89</v>
      </c>
      <c r="E125" t="s">
        <v>90</v>
      </c>
      <c r="G125">
        <v>100</v>
      </c>
      <c r="H125">
        <v>100</v>
      </c>
      <c r="I125">
        <v>0</v>
      </c>
      <c r="J125">
        <v>0</v>
      </c>
    </row>
    <row r="126" spans="1:10" x14ac:dyDescent="0.3">
      <c r="A126">
        <v>121</v>
      </c>
      <c r="B126" t="s">
        <v>513</v>
      </c>
      <c r="C126" s="1" t="s">
        <v>514</v>
      </c>
      <c r="D126" t="s">
        <v>108</v>
      </c>
      <c r="E126" t="s">
        <v>515</v>
      </c>
      <c r="G126">
        <v>100</v>
      </c>
      <c r="H126">
        <v>100</v>
      </c>
      <c r="I126">
        <v>0</v>
      </c>
      <c r="J126">
        <v>0</v>
      </c>
    </row>
    <row r="127" spans="1:10" x14ac:dyDescent="0.3">
      <c r="A127">
        <v>121</v>
      </c>
      <c r="B127" t="s">
        <v>447</v>
      </c>
      <c r="C127" s="1" t="s">
        <v>448</v>
      </c>
      <c r="D127" t="s">
        <v>81</v>
      </c>
      <c r="E127" t="s">
        <v>449</v>
      </c>
      <c r="G127">
        <v>100</v>
      </c>
      <c r="H127">
        <v>100</v>
      </c>
      <c r="I127">
        <v>0</v>
      </c>
      <c r="J127">
        <v>0</v>
      </c>
    </row>
    <row r="128" spans="1:10" x14ac:dyDescent="0.3">
      <c r="A128">
        <v>121</v>
      </c>
      <c r="B128" t="s">
        <v>263</v>
      </c>
      <c r="C128" s="1" t="s">
        <v>264</v>
      </c>
      <c r="D128" t="s">
        <v>147</v>
      </c>
      <c r="E128" t="s">
        <v>265</v>
      </c>
      <c r="G128">
        <v>100</v>
      </c>
      <c r="H128">
        <v>100</v>
      </c>
      <c r="I128">
        <v>0</v>
      </c>
      <c r="J128">
        <v>0</v>
      </c>
    </row>
    <row r="129" spans="1:10" x14ac:dyDescent="0.3">
      <c r="A129">
        <v>121</v>
      </c>
      <c r="B129" t="s">
        <v>479</v>
      </c>
      <c r="C129" s="1" t="s">
        <v>480</v>
      </c>
      <c r="D129" t="s">
        <v>81</v>
      </c>
      <c r="E129" t="s">
        <v>481</v>
      </c>
      <c r="G129">
        <v>100</v>
      </c>
      <c r="H129">
        <v>100</v>
      </c>
      <c r="I129">
        <v>0</v>
      </c>
      <c r="J129">
        <v>0</v>
      </c>
    </row>
    <row r="130" spans="1:10" x14ac:dyDescent="0.3">
      <c r="A130">
        <v>129</v>
      </c>
      <c r="B130" t="s">
        <v>296</v>
      </c>
      <c r="C130" s="1" t="s">
        <v>297</v>
      </c>
      <c r="D130" t="s">
        <v>178</v>
      </c>
      <c r="E130" t="s">
        <v>298</v>
      </c>
      <c r="G130">
        <v>97</v>
      </c>
      <c r="H130">
        <v>55</v>
      </c>
      <c r="I130">
        <v>12</v>
      </c>
      <c r="J130">
        <v>30</v>
      </c>
    </row>
    <row r="131" spans="1:10" x14ac:dyDescent="0.3">
      <c r="A131">
        <v>129</v>
      </c>
      <c r="B131" t="s">
        <v>199</v>
      </c>
      <c r="C131" s="1" t="s">
        <v>200</v>
      </c>
      <c r="D131" t="s">
        <v>28</v>
      </c>
      <c r="E131" t="s">
        <v>201</v>
      </c>
      <c r="G131">
        <v>97</v>
      </c>
      <c r="H131">
        <v>75</v>
      </c>
      <c r="I131">
        <v>12</v>
      </c>
      <c r="J131">
        <v>10</v>
      </c>
    </row>
    <row r="132" spans="1:10" x14ac:dyDescent="0.3">
      <c r="A132">
        <v>129</v>
      </c>
      <c r="B132" t="s">
        <v>62</v>
      </c>
      <c r="C132" s="1" t="s">
        <v>63</v>
      </c>
      <c r="D132" t="s">
        <v>64</v>
      </c>
      <c r="E132" t="s">
        <v>65</v>
      </c>
      <c r="G132">
        <v>97</v>
      </c>
      <c r="H132">
        <v>65</v>
      </c>
      <c r="I132">
        <v>32</v>
      </c>
      <c r="J132">
        <v>0</v>
      </c>
    </row>
    <row r="133" spans="1:10" x14ac:dyDescent="0.3">
      <c r="A133">
        <v>132</v>
      </c>
      <c r="B133" t="s">
        <v>287</v>
      </c>
      <c r="C133" s="1" t="s">
        <v>288</v>
      </c>
      <c r="D133" t="s">
        <v>178</v>
      </c>
      <c r="E133" t="s">
        <v>289</v>
      </c>
      <c r="G133">
        <v>92</v>
      </c>
      <c r="H133">
        <v>60</v>
      </c>
      <c r="I133">
        <v>32</v>
      </c>
      <c r="J133">
        <v>0</v>
      </c>
    </row>
    <row r="134" spans="1:10" x14ac:dyDescent="0.3">
      <c r="A134">
        <v>132</v>
      </c>
      <c r="B134" t="s">
        <v>323</v>
      </c>
      <c r="C134" s="1" t="s">
        <v>324</v>
      </c>
      <c r="D134" t="s">
        <v>178</v>
      </c>
      <c r="E134" t="s">
        <v>325</v>
      </c>
      <c r="G134">
        <v>92</v>
      </c>
      <c r="H134">
        <v>60</v>
      </c>
      <c r="I134">
        <v>32</v>
      </c>
      <c r="J134">
        <v>0</v>
      </c>
    </row>
    <row r="135" spans="1:10" x14ac:dyDescent="0.3">
      <c r="A135">
        <v>132</v>
      </c>
      <c r="B135" t="s">
        <v>450</v>
      </c>
      <c r="C135" s="1" t="s">
        <v>451</v>
      </c>
      <c r="D135" t="s">
        <v>305</v>
      </c>
      <c r="E135" t="s">
        <v>452</v>
      </c>
      <c r="G135">
        <v>92</v>
      </c>
      <c r="H135">
        <v>60</v>
      </c>
      <c r="I135">
        <v>32</v>
      </c>
      <c r="J135">
        <v>0</v>
      </c>
    </row>
    <row r="136" spans="1:10" x14ac:dyDescent="0.3">
      <c r="A136">
        <v>135</v>
      </c>
      <c r="B136" t="s">
        <v>329</v>
      </c>
      <c r="C136" s="1" t="s">
        <v>330</v>
      </c>
      <c r="D136" t="s">
        <v>216</v>
      </c>
      <c r="E136" t="s">
        <v>331</v>
      </c>
      <c r="G136">
        <v>88</v>
      </c>
      <c r="H136">
        <v>35</v>
      </c>
      <c r="I136">
        <v>53</v>
      </c>
      <c r="J136">
        <v>0</v>
      </c>
    </row>
    <row r="137" spans="1:10" x14ac:dyDescent="0.3">
      <c r="A137">
        <v>136</v>
      </c>
      <c r="B137" t="s">
        <v>394</v>
      </c>
      <c r="C137" s="1" t="s">
        <v>395</v>
      </c>
      <c r="D137" t="s">
        <v>178</v>
      </c>
      <c r="E137" t="s">
        <v>396</v>
      </c>
      <c r="G137">
        <v>87</v>
      </c>
      <c r="H137">
        <v>45</v>
      </c>
      <c r="I137">
        <v>32</v>
      </c>
      <c r="J137">
        <v>10</v>
      </c>
    </row>
    <row r="138" spans="1:10" x14ac:dyDescent="0.3">
      <c r="A138">
        <v>137</v>
      </c>
      <c r="B138" t="s">
        <v>176</v>
      </c>
      <c r="C138" s="1" t="s">
        <v>177</v>
      </c>
      <c r="D138" t="s">
        <v>178</v>
      </c>
      <c r="E138" t="s">
        <v>179</v>
      </c>
      <c r="G138">
        <v>83</v>
      </c>
      <c r="H138">
        <v>55</v>
      </c>
      <c r="I138">
        <v>28</v>
      </c>
      <c r="J138">
        <v>0</v>
      </c>
    </row>
    <row r="139" spans="1:10" x14ac:dyDescent="0.3">
      <c r="A139">
        <v>138</v>
      </c>
      <c r="B139" t="s">
        <v>83</v>
      </c>
      <c r="C139" s="1" t="s">
        <v>84</v>
      </c>
      <c r="D139" t="s">
        <v>85</v>
      </c>
      <c r="E139" t="s">
        <v>86</v>
      </c>
      <c r="G139">
        <v>80</v>
      </c>
      <c r="H139">
        <v>80</v>
      </c>
      <c r="I139">
        <v>0</v>
      </c>
      <c r="J139">
        <v>0</v>
      </c>
    </row>
    <row r="140" spans="1:10" x14ac:dyDescent="0.3">
      <c r="A140">
        <v>138</v>
      </c>
      <c r="B140" t="s">
        <v>485</v>
      </c>
      <c r="C140" s="1" t="s">
        <v>486</v>
      </c>
      <c r="D140" t="s">
        <v>89</v>
      </c>
      <c r="E140" t="s">
        <v>487</v>
      </c>
      <c r="G140">
        <v>80</v>
      </c>
      <c r="H140">
        <v>80</v>
      </c>
      <c r="I140">
        <v>0</v>
      </c>
      <c r="J140">
        <v>0</v>
      </c>
    </row>
    <row r="141" spans="1:10" x14ac:dyDescent="0.3">
      <c r="A141">
        <v>140</v>
      </c>
      <c r="B141" t="s">
        <v>391</v>
      </c>
      <c r="C141" s="1" t="s">
        <v>392</v>
      </c>
      <c r="D141" t="s">
        <v>178</v>
      </c>
      <c r="E141" t="s">
        <v>393</v>
      </c>
      <c r="G141">
        <v>77</v>
      </c>
      <c r="H141">
        <v>45</v>
      </c>
      <c r="I141">
        <v>32</v>
      </c>
      <c r="J141">
        <v>0</v>
      </c>
    </row>
    <row r="142" spans="1:10" x14ac:dyDescent="0.3">
      <c r="A142">
        <v>141</v>
      </c>
      <c r="B142" t="s">
        <v>307</v>
      </c>
      <c r="C142" s="1" t="s">
        <v>308</v>
      </c>
      <c r="D142" t="s">
        <v>52</v>
      </c>
      <c r="E142" t="s">
        <v>309</v>
      </c>
      <c r="G142">
        <v>72</v>
      </c>
      <c r="H142">
        <v>40</v>
      </c>
      <c r="I142">
        <v>32</v>
      </c>
      <c r="J142">
        <v>0</v>
      </c>
    </row>
    <row r="143" spans="1:10" x14ac:dyDescent="0.3">
      <c r="A143">
        <v>142</v>
      </c>
      <c r="B143" t="s">
        <v>456</v>
      </c>
      <c r="C143" s="1" t="s">
        <v>457</v>
      </c>
      <c r="D143" t="s">
        <v>178</v>
      </c>
      <c r="E143" t="s">
        <v>458</v>
      </c>
      <c r="G143">
        <v>70</v>
      </c>
      <c r="H143">
        <v>70</v>
      </c>
      <c r="I143">
        <v>0</v>
      </c>
      <c r="J143">
        <v>0</v>
      </c>
    </row>
    <row r="144" spans="1:10" x14ac:dyDescent="0.3">
      <c r="A144">
        <v>143</v>
      </c>
      <c r="B144" t="s">
        <v>494</v>
      </c>
      <c r="C144" s="1" t="s">
        <v>495</v>
      </c>
      <c r="D144" t="s">
        <v>178</v>
      </c>
      <c r="E144" t="s">
        <v>496</v>
      </c>
      <c r="G144">
        <v>67</v>
      </c>
      <c r="H144">
        <v>55</v>
      </c>
      <c r="I144">
        <v>12</v>
      </c>
      <c r="J144">
        <v>0</v>
      </c>
    </row>
    <row r="145" spans="1:10" x14ac:dyDescent="0.3">
      <c r="A145">
        <v>144</v>
      </c>
      <c r="B145" t="s">
        <v>557</v>
      </c>
      <c r="C145" s="1" t="s">
        <v>558</v>
      </c>
      <c r="D145" t="s">
        <v>216</v>
      </c>
      <c r="E145" t="s">
        <v>559</v>
      </c>
      <c r="G145">
        <v>62</v>
      </c>
      <c r="H145">
        <v>50</v>
      </c>
      <c r="I145">
        <v>12</v>
      </c>
      <c r="J145">
        <v>0</v>
      </c>
    </row>
    <row r="146" spans="1:10" x14ac:dyDescent="0.3">
      <c r="A146">
        <v>145</v>
      </c>
      <c r="B146" t="s">
        <v>504</v>
      </c>
      <c r="C146" s="1" t="s">
        <v>505</v>
      </c>
      <c r="D146" t="s">
        <v>178</v>
      </c>
      <c r="E146" t="s">
        <v>506</v>
      </c>
      <c r="G146">
        <v>55</v>
      </c>
      <c r="H146">
        <v>55</v>
      </c>
      <c r="I146">
        <v>0</v>
      </c>
      <c r="J146">
        <v>0</v>
      </c>
    </row>
    <row r="147" spans="1:10" x14ac:dyDescent="0.3">
      <c r="A147">
        <v>145</v>
      </c>
      <c r="B147" t="s">
        <v>303</v>
      </c>
      <c r="C147" s="1" t="s">
        <v>304</v>
      </c>
      <c r="D147" t="s">
        <v>305</v>
      </c>
      <c r="E147" t="s">
        <v>306</v>
      </c>
      <c r="G147">
        <v>55</v>
      </c>
      <c r="H147">
        <v>55</v>
      </c>
      <c r="I147">
        <v>0</v>
      </c>
      <c r="J147">
        <v>0</v>
      </c>
    </row>
    <row r="148" spans="1:10" x14ac:dyDescent="0.3">
      <c r="A148">
        <v>147</v>
      </c>
      <c r="B148" t="s">
        <v>377</v>
      </c>
      <c r="C148" s="1" t="s">
        <v>378</v>
      </c>
      <c r="D148" t="s">
        <v>379</v>
      </c>
      <c r="E148" t="s">
        <v>380</v>
      </c>
      <c r="G148">
        <v>45</v>
      </c>
      <c r="H148">
        <v>35</v>
      </c>
      <c r="I148">
        <v>0</v>
      </c>
      <c r="J148">
        <v>10</v>
      </c>
    </row>
    <row r="149" spans="1:10" x14ac:dyDescent="0.3">
      <c r="A149">
        <v>148</v>
      </c>
      <c r="B149" t="s">
        <v>523</v>
      </c>
      <c r="C149" s="1" t="s">
        <v>524</v>
      </c>
      <c r="D149" t="s">
        <v>89</v>
      </c>
      <c r="E149" t="s">
        <v>525</v>
      </c>
      <c r="G149">
        <v>40</v>
      </c>
      <c r="H149">
        <v>40</v>
      </c>
      <c r="I149">
        <v>0</v>
      </c>
      <c r="J149">
        <v>0</v>
      </c>
    </row>
    <row r="150" spans="1:10" x14ac:dyDescent="0.3">
      <c r="A150">
        <v>148</v>
      </c>
      <c r="B150" t="s">
        <v>575</v>
      </c>
      <c r="C150" s="1" t="s">
        <v>576</v>
      </c>
      <c r="D150" t="s">
        <v>577</v>
      </c>
      <c r="E150" t="s">
        <v>578</v>
      </c>
      <c r="G150">
        <v>40</v>
      </c>
      <c r="H150">
        <v>40</v>
      </c>
      <c r="I150">
        <v>0</v>
      </c>
      <c r="J150">
        <v>0</v>
      </c>
    </row>
    <row r="151" spans="1:10" x14ac:dyDescent="0.3">
      <c r="A151">
        <v>148</v>
      </c>
      <c r="B151" t="s">
        <v>266</v>
      </c>
      <c r="C151" s="1" t="s">
        <v>267</v>
      </c>
      <c r="D151" t="s">
        <v>178</v>
      </c>
      <c r="E151" t="s">
        <v>268</v>
      </c>
      <c r="G151">
        <v>40</v>
      </c>
      <c r="H151">
        <v>40</v>
      </c>
      <c r="I151">
        <v>0</v>
      </c>
      <c r="J151">
        <v>0</v>
      </c>
    </row>
    <row r="152" spans="1:10" x14ac:dyDescent="0.3">
      <c r="A152">
        <v>151</v>
      </c>
      <c r="B152" t="s">
        <v>459</v>
      </c>
      <c r="C152" s="1" t="s">
        <v>460</v>
      </c>
      <c r="D152" t="s">
        <v>461</v>
      </c>
      <c r="E152" t="s">
        <v>462</v>
      </c>
      <c r="G152">
        <v>35</v>
      </c>
      <c r="H152">
        <v>35</v>
      </c>
      <c r="I152">
        <v>0</v>
      </c>
      <c r="J152">
        <v>0</v>
      </c>
    </row>
    <row r="153" spans="1:10" x14ac:dyDescent="0.3">
      <c r="A153">
        <v>151</v>
      </c>
      <c r="B153" t="s">
        <v>423</v>
      </c>
      <c r="C153" s="1" t="s">
        <v>424</v>
      </c>
      <c r="D153" t="s">
        <v>425</v>
      </c>
      <c r="E153" t="s">
        <v>426</v>
      </c>
      <c r="G153">
        <v>35</v>
      </c>
      <c r="H153">
        <v>35</v>
      </c>
      <c r="I153">
        <v>0</v>
      </c>
      <c r="J153">
        <v>0</v>
      </c>
    </row>
    <row r="154" spans="1:10" x14ac:dyDescent="0.3">
      <c r="A154">
        <v>151</v>
      </c>
      <c r="B154" t="s">
        <v>516</v>
      </c>
      <c r="C154" s="1" t="s">
        <v>517</v>
      </c>
      <c r="D154" t="s">
        <v>442</v>
      </c>
      <c r="E154" t="s">
        <v>518</v>
      </c>
      <c r="G154">
        <v>35</v>
      </c>
      <c r="H154">
        <v>35</v>
      </c>
      <c r="I154">
        <v>0</v>
      </c>
      <c r="J154">
        <v>0</v>
      </c>
    </row>
    <row r="155" spans="1:10" x14ac:dyDescent="0.3">
      <c r="A155">
        <v>154</v>
      </c>
      <c r="B155" t="s">
        <v>420</v>
      </c>
      <c r="C155" s="1" t="s">
        <v>421</v>
      </c>
      <c r="D155" t="s">
        <v>305</v>
      </c>
      <c r="E155" t="s">
        <v>422</v>
      </c>
      <c r="G155">
        <v>32</v>
      </c>
      <c r="H155">
        <v>0</v>
      </c>
      <c r="I155">
        <v>32</v>
      </c>
      <c r="J155">
        <v>0</v>
      </c>
    </row>
    <row r="156" spans="1:10" x14ac:dyDescent="0.3">
      <c r="A156">
        <v>154</v>
      </c>
      <c r="B156" t="s">
        <v>497</v>
      </c>
      <c r="C156" s="1" t="s">
        <v>498</v>
      </c>
      <c r="D156" t="s">
        <v>282</v>
      </c>
      <c r="E156" t="s">
        <v>499</v>
      </c>
      <c r="G156">
        <v>32</v>
      </c>
      <c r="H156">
        <v>0</v>
      </c>
      <c r="I156">
        <v>32</v>
      </c>
      <c r="J156">
        <v>0</v>
      </c>
    </row>
    <row r="157" spans="1:10" x14ac:dyDescent="0.3">
      <c r="A157">
        <v>156</v>
      </c>
      <c r="B157" t="s">
        <v>469</v>
      </c>
      <c r="C157" s="1" t="s">
        <v>470</v>
      </c>
      <c r="D157" t="s">
        <v>471</v>
      </c>
      <c r="E157" t="s">
        <v>472</v>
      </c>
      <c r="G157">
        <v>30</v>
      </c>
      <c r="H157">
        <v>30</v>
      </c>
      <c r="I157">
        <v>0</v>
      </c>
      <c r="J157">
        <v>0</v>
      </c>
    </row>
    <row r="158" spans="1:10" x14ac:dyDescent="0.3">
      <c r="A158">
        <v>156</v>
      </c>
      <c r="B158" t="s">
        <v>149</v>
      </c>
      <c r="C158" s="1" t="s">
        <v>150</v>
      </c>
      <c r="D158" t="s">
        <v>151</v>
      </c>
      <c r="E158" t="s">
        <v>152</v>
      </c>
      <c r="G158">
        <v>30</v>
      </c>
      <c r="H158">
        <v>30</v>
      </c>
      <c r="I158">
        <v>0</v>
      </c>
      <c r="J158">
        <v>0</v>
      </c>
    </row>
    <row r="159" spans="1:10" x14ac:dyDescent="0.3">
      <c r="A159">
        <v>158</v>
      </c>
      <c r="B159" t="s">
        <v>566</v>
      </c>
      <c r="C159" s="1" t="s">
        <v>567</v>
      </c>
      <c r="D159" t="s">
        <v>568</v>
      </c>
      <c r="E159" t="s">
        <v>569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>
        <v>158</v>
      </c>
      <c r="B160" t="s">
        <v>409</v>
      </c>
      <c r="C160" s="1" t="s">
        <v>410</v>
      </c>
      <c r="D160" t="s">
        <v>16</v>
      </c>
      <c r="E160" t="s">
        <v>411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>
        <v>158</v>
      </c>
      <c r="B161" t="s">
        <v>550</v>
      </c>
      <c r="C161" s="1" t="s">
        <v>551</v>
      </c>
      <c r="D161" t="s">
        <v>223</v>
      </c>
      <c r="E161" t="s">
        <v>552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>
        <v>158</v>
      </c>
      <c r="B162" t="s">
        <v>131</v>
      </c>
      <c r="C162" s="1" t="s">
        <v>132</v>
      </c>
      <c r="D162" t="s">
        <v>133</v>
      </c>
      <c r="E162" t="s">
        <v>134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>
        <v>158</v>
      </c>
      <c r="B163" t="s">
        <v>138</v>
      </c>
      <c r="C163" s="1" t="s">
        <v>139</v>
      </c>
      <c r="D163" t="s">
        <v>20</v>
      </c>
      <c r="E163" t="s">
        <v>140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158</v>
      </c>
      <c r="B164" t="s">
        <v>231</v>
      </c>
      <c r="C164" s="1" t="s">
        <v>232</v>
      </c>
      <c r="D164" t="s">
        <v>20</v>
      </c>
      <c r="E164" t="s">
        <v>233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>
        <v>158</v>
      </c>
      <c r="B165" t="s">
        <v>585</v>
      </c>
      <c r="C165" s="1" t="s">
        <v>586</v>
      </c>
      <c r="D165" t="s">
        <v>81</v>
      </c>
      <c r="E165" t="s">
        <v>587</v>
      </c>
      <c r="G165">
        <v>0</v>
      </c>
      <c r="H165">
        <v>0</v>
      </c>
      <c r="I165">
        <v>0</v>
      </c>
      <c r="J165">
        <v>0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  <hyperlink ref="C99" r:id="rId98" xr:uid="{00000000-0004-0000-0400-000061000000}"/>
    <hyperlink ref="C100" r:id="rId99" xr:uid="{00000000-0004-0000-0400-000062000000}"/>
    <hyperlink ref="C101" r:id="rId100" xr:uid="{00000000-0004-0000-0400-000063000000}"/>
    <hyperlink ref="C102" r:id="rId101" xr:uid="{00000000-0004-0000-0400-000064000000}"/>
    <hyperlink ref="C103" r:id="rId102" xr:uid="{00000000-0004-0000-0400-000065000000}"/>
    <hyperlink ref="C104" r:id="rId103" xr:uid="{00000000-0004-0000-0400-000066000000}"/>
    <hyperlink ref="C105" r:id="rId104" xr:uid="{00000000-0004-0000-0400-000067000000}"/>
    <hyperlink ref="C106" r:id="rId105" xr:uid="{00000000-0004-0000-0400-000068000000}"/>
    <hyperlink ref="C107" r:id="rId106" xr:uid="{00000000-0004-0000-0400-000069000000}"/>
    <hyperlink ref="C108" r:id="rId107" xr:uid="{00000000-0004-0000-0400-00006A000000}"/>
    <hyperlink ref="C109" r:id="rId108" xr:uid="{00000000-0004-0000-0400-00006B000000}"/>
    <hyperlink ref="C110" r:id="rId109" xr:uid="{00000000-0004-0000-0400-00006C000000}"/>
    <hyperlink ref="C111" r:id="rId110" xr:uid="{00000000-0004-0000-0400-00006D000000}"/>
    <hyperlink ref="C112" r:id="rId111" xr:uid="{00000000-0004-0000-0400-00006E000000}"/>
    <hyperlink ref="C113" r:id="rId112" xr:uid="{00000000-0004-0000-0400-00006F000000}"/>
    <hyperlink ref="C114" r:id="rId113" xr:uid="{00000000-0004-0000-0400-000070000000}"/>
    <hyperlink ref="C115" r:id="rId114" xr:uid="{00000000-0004-0000-0400-000071000000}"/>
    <hyperlink ref="C116" r:id="rId115" xr:uid="{00000000-0004-0000-0400-000072000000}"/>
    <hyperlink ref="C117" r:id="rId116" xr:uid="{00000000-0004-0000-0400-000073000000}"/>
    <hyperlink ref="C118" r:id="rId117" xr:uid="{00000000-0004-0000-0400-000074000000}"/>
    <hyperlink ref="C119" r:id="rId118" xr:uid="{00000000-0004-0000-0400-000075000000}"/>
    <hyperlink ref="C120" r:id="rId119" xr:uid="{00000000-0004-0000-0400-000076000000}"/>
    <hyperlink ref="C121" r:id="rId120" xr:uid="{00000000-0004-0000-0400-000077000000}"/>
    <hyperlink ref="C122" r:id="rId121" xr:uid="{00000000-0004-0000-0400-000078000000}"/>
    <hyperlink ref="C123" r:id="rId122" xr:uid="{00000000-0004-0000-0400-000079000000}"/>
    <hyperlink ref="C124" r:id="rId123" xr:uid="{00000000-0004-0000-0400-00007A000000}"/>
    <hyperlink ref="C125" r:id="rId124" xr:uid="{00000000-0004-0000-0400-00007B000000}"/>
    <hyperlink ref="C126" r:id="rId125" xr:uid="{00000000-0004-0000-0400-00007C000000}"/>
    <hyperlink ref="C127" r:id="rId126" xr:uid="{00000000-0004-0000-0400-00007D000000}"/>
    <hyperlink ref="C128" r:id="rId127" xr:uid="{00000000-0004-0000-0400-00007E000000}"/>
    <hyperlink ref="C129" r:id="rId128" xr:uid="{00000000-0004-0000-0400-00007F000000}"/>
    <hyperlink ref="C130" r:id="rId129" xr:uid="{00000000-0004-0000-0400-000080000000}"/>
    <hyperlink ref="C131" r:id="rId130" xr:uid="{00000000-0004-0000-0400-000081000000}"/>
    <hyperlink ref="C132" r:id="rId131" xr:uid="{00000000-0004-0000-0400-000082000000}"/>
    <hyperlink ref="C133" r:id="rId132" xr:uid="{00000000-0004-0000-0400-000083000000}"/>
    <hyperlink ref="C134" r:id="rId133" xr:uid="{00000000-0004-0000-0400-000084000000}"/>
    <hyperlink ref="C135" r:id="rId134" xr:uid="{00000000-0004-0000-0400-000085000000}"/>
    <hyperlink ref="C136" r:id="rId135" xr:uid="{00000000-0004-0000-0400-000086000000}"/>
    <hyperlink ref="C137" r:id="rId136" xr:uid="{00000000-0004-0000-0400-000087000000}"/>
    <hyperlink ref="C138" r:id="rId137" xr:uid="{00000000-0004-0000-0400-000088000000}"/>
    <hyperlink ref="C139" r:id="rId138" xr:uid="{00000000-0004-0000-0400-000089000000}"/>
    <hyperlink ref="C140" r:id="rId139" xr:uid="{00000000-0004-0000-0400-00008A000000}"/>
    <hyperlink ref="C141" r:id="rId140" xr:uid="{00000000-0004-0000-0400-00008B000000}"/>
    <hyperlink ref="C142" r:id="rId141" xr:uid="{00000000-0004-0000-0400-00008C000000}"/>
    <hyperlink ref="C143" r:id="rId142" xr:uid="{00000000-0004-0000-0400-00008D000000}"/>
    <hyperlink ref="C144" r:id="rId143" xr:uid="{00000000-0004-0000-0400-00008E000000}"/>
    <hyperlink ref="C145" r:id="rId144" xr:uid="{00000000-0004-0000-0400-00008F000000}"/>
    <hyperlink ref="C146" r:id="rId145" xr:uid="{00000000-0004-0000-0400-000090000000}"/>
    <hyperlink ref="C147" r:id="rId146" xr:uid="{00000000-0004-0000-0400-000091000000}"/>
    <hyperlink ref="C148" r:id="rId147" xr:uid="{00000000-0004-0000-0400-000092000000}"/>
    <hyperlink ref="C149" r:id="rId148" xr:uid="{00000000-0004-0000-0400-000093000000}"/>
    <hyperlink ref="C150" r:id="rId149" xr:uid="{00000000-0004-0000-0400-000094000000}"/>
    <hyperlink ref="C151" r:id="rId150" xr:uid="{00000000-0004-0000-0400-000095000000}"/>
    <hyperlink ref="C152" r:id="rId151" xr:uid="{00000000-0004-0000-0400-000096000000}"/>
    <hyperlink ref="C153" r:id="rId152" xr:uid="{00000000-0004-0000-0400-000097000000}"/>
    <hyperlink ref="C154" r:id="rId153" xr:uid="{00000000-0004-0000-0400-000098000000}"/>
    <hyperlink ref="C155" r:id="rId154" xr:uid="{00000000-0004-0000-0400-000099000000}"/>
    <hyperlink ref="C156" r:id="rId155" xr:uid="{00000000-0004-0000-0400-00009A000000}"/>
    <hyperlink ref="C157" r:id="rId156" xr:uid="{00000000-0004-0000-0400-00009B000000}"/>
    <hyperlink ref="C158" r:id="rId157" xr:uid="{00000000-0004-0000-0400-00009C000000}"/>
    <hyperlink ref="C159" r:id="rId158" xr:uid="{00000000-0004-0000-0400-00009D000000}"/>
    <hyperlink ref="C160" r:id="rId159" xr:uid="{00000000-0004-0000-0400-00009E000000}"/>
    <hyperlink ref="C161" r:id="rId160" xr:uid="{00000000-0004-0000-0400-00009F000000}"/>
    <hyperlink ref="C162" r:id="rId161" xr:uid="{00000000-0004-0000-0400-0000A0000000}"/>
    <hyperlink ref="C163" r:id="rId162" xr:uid="{00000000-0004-0000-0400-0000A1000000}"/>
    <hyperlink ref="C164" r:id="rId163" xr:uid="{00000000-0004-0000-0400-0000A2000000}"/>
    <hyperlink ref="C165" r:id="rId164" xr:uid="{00000000-0004-0000-0400-0000A3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5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588</v>
      </c>
      <c r="I1" t="s">
        <v>589</v>
      </c>
      <c r="J1" t="s">
        <v>590</v>
      </c>
    </row>
    <row r="2" spans="1:10" x14ac:dyDescent="0.3">
      <c r="A2">
        <v>1</v>
      </c>
      <c r="B2" t="s">
        <v>39</v>
      </c>
      <c r="C2" s="1" t="s">
        <v>40</v>
      </c>
      <c r="D2" t="s">
        <v>41</v>
      </c>
      <c r="E2" t="s">
        <v>42</v>
      </c>
      <c r="G2">
        <v>300</v>
      </c>
      <c r="H2">
        <v>100</v>
      </c>
      <c r="I2">
        <v>100</v>
      </c>
      <c r="J2">
        <v>100</v>
      </c>
    </row>
    <row r="3" spans="1:10" x14ac:dyDescent="0.3">
      <c r="A3">
        <v>1</v>
      </c>
      <c r="B3" t="s">
        <v>193</v>
      </c>
      <c r="C3" s="1" t="s">
        <v>194</v>
      </c>
      <c r="D3" t="s">
        <v>60</v>
      </c>
      <c r="E3" t="s">
        <v>195</v>
      </c>
      <c r="G3">
        <v>300</v>
      </c>
      <c r="H3">
        <v>100</v>
      </c>
      <c r="I3">
        <v>100</v>
      </c>
      <c r="J3">
        <v>100</v>
      </c>
    </row>
    <row r="4" spans="1:10" x14ac:dyDescent="0.3">
      <c r="A4">
        <v>1</v>
      </c>
      <c r="B4" t="s">
        <v>141</v>
      </c>
      <c r="C4" s="1" t="s">
        <v>142</v>
      </c>
      <c r="D4" t="s">
        <v>143</v>
      </c>
      <c r="E4" t="s">
        <v>144</v>
      </c>
      <c r="G4">
        <v>300</v>
      </c>
      <c r="H4">
        <v>100</v>
      </c>
      <c r="I4">
        <v>100</v>
      </c>
      <c r="J4">
        <v>100</v>
      </c>
    </row>
    <row r="5" spans="1:10" x14ac:dyDescent="0.3">
      <c r="A5">
        <v>1</v>
      </c>
      <c r="B5" t="s">
        <v>284</v>
      </c>
      <c r="C5" s="1" t="s">
        <v>285</v>
      </c>
      <c r="D5" t="s">
        <v>100</v>
      </c>
      <c r="E5" t="s">
        <v>286</v>
      </c>
      <c r="G5">
        <v>300</v>
      </c>
      <c r="H5">
        <v>100</v>
      </c>
      <c r="I5">
        <v>100</v>
      </c>
      <c r="J5">
        <v>100</v>
      </c>
    </row>
    <row r="6" spans="1:10" x14ac:dyDescent="0.3">
      <c r="A6">
        <v>1</v>
      </c>
      <c r="B6" t="s">
        <v>360</v>
      </c>
      <c r="C6" s="1" t="s">
        <v>361</v>
      </c>
      <c r="D6" t="s">
        <v>362</v>
      </c>
      <c r="E6" t="s">
        <v>363</v>
      </c>
      <c r="G6">
        <v>300</v>
      </c>
      <c r="H6">
        <v>100</v>
      </c>
      <c r="I6">
        <v>100</v>
      </c>
      <c r="J6">
        <v>100</v>
      </c>
    </row>
    <row r="7" spans="1:10" x14ac:dyDescent="0.3">
      <c r="A7">
        <v>1</v>
      </c>
      <c r="B7" t="s">
        <v>163</v>
      </c>
      <c r="C7" s="1" t="s">
        <v>164</v>
      </c>
      <c r="D7" t="s">
        <v>89</v>
      </c>
      <c r="E7" t="s">
        <v>165</v>
      </c>
      <c r="G7">
        <v>300</v>
      </c>
      <c r="H7">
        <v>100</v>
      </c>
      <c r="I7">
        <v>100</v>
      </c>
      <c r="J7">
        <v>100</v>
      </c>
    </row>
    <row r="8" spans="1:10" x14ac:dyDescent="0.3">
      <c r="A8">
        <v>1</v>
      </c>
      <c r="B8" t="s">
        <v>513</v>
      </c>
      <c r="C8" s="1" t="s">
        <v>514</v>
      </c>
      <c r="D8" t="s">
        <v>108</v>
      </c>
      <c r="E8" t="s">
        <v>515</v>
      </c>
      <c r="G8">
        <v>300</v>
      </c>
      <c r="H8">
        <v>100</v>
      </c>
      <c r="I8">
        <v>100</v>
      </c>
      <c r="J8">
        <v>100</v>
      </c>
    </row>
    <row r="9" spans="1:10" x14ac:dyDescent="0.3">
      <c r="A9">
        <v>1</v>
      </c>
      <c r="B9" t="s">
        <v>91</v>
      </c>
      <c r="C9" s="1" t="s">
        <v>92</v>
      </c>
      <c r="D9" t="s">
        <v>12</v>
      </c>
      <c r="E9" t="s">
        <v>93</v>
      </c>
      <c r="G9">
        <v>300</v>
      </c>
      <c r="H9">
        <v>100</v>
      </c>
      <c r="I9">
        <v>100</v>
      </c>
      <c r="J9">
        <v>100</v>
      </c>
    </row>
    <row r="10" spans="1:10" x14ac:dyDescent="0.3">
      <c r="A10">
        <v>1</v>
      </c>
      <c r="B10" t="s">
        <v>62</v>
      </c>
      <c r="C10" s="1" t="s">
        <v>63</v>
      </c>
      <c r="D10" t="s">
        <v>64</v>
      </c>
      <c r="E10" t="s">
        <v>65</v>
      </c>
      <c r="G10">
        <v>300</v>
      </c>
      <c r="H10">
        <v>100</v>
      </c>
      <c r="I10">
        <v>100</v>
      </c>
      <c r="J10">
        <v>100</v>
      </c>
    </row>
    <row r="11" spans="1:10" x14ac:dyDescent="0.3">
      <c r="A11">
        <v>1</v>
      </c>
      <c r="B11" t="s">
        <v>58</v>
      </c>
      <c r="C11" s="1" t="s">
        <v>59</v>
      </c>
      <c r="D11" t="s">
        <v>60</v>
      </c>
      <c r="E11" t="s">
        <v>61</v>
      </c>
      <c r="G11">
        <v>300</v>
      </c>
      <c r="H11">
        <v>100</v>
      </c>
      <c r="I11">
        <v>100</v>
      </c>
      <c r="J11">
        <v>100</v>
      </c>
    </row>
    <row r="12" spans="1:10" x14ac:dyDescent="0.3">
      <c r="A12">
        <v>1</v>
      </c>
      <c r="B12" t="s">
        <v>211</v>
      </c>
      <c r="C12" s="1" t="s">
        <v>212</v>
      </c>
      <c r="D12" t="s">
        <v>147</v>
      </c>
      <c r="E12" t="s">
        <v>213</v>
      </c>
      <c r="G12">
        <v>300</v>
      </c>
      <c r="H12">
        <v>100</v>
      </c>
      <c r="I12">
        <v>100</v>
      </c>
      <c r="J12">
        <v>100</v>
      </c>
    </row>
    <row r="13" spans="1:10" x14ac:dyDescent="0.3">
      <c r="A13">
        <v>1</v>
      </c>
      <c r="B13" t="s">
        <v>290</v>
      </c>
      <c r="C13" s="1" t="s">
        <v>291</v>
      </c>
      <c r="D13" t="s">
        <v>81</v>
      </c>
      <c r="E13" t="s">
        <v>292</v>
      </c>
      <c r="G13">
        <v>300</v>
      </c>
      <c r="H13">
        <v>100</v>
      </c>
      <c r="I13">
        <v>100</v>
      </c>
      <c r="J13">
        <v>100</v>
      </c>
    </row>
    <row r="14" spans="1:10" x14ac:dyDescent="0.3">
      <c r="A14">
        <v>1</v>
      </c>
      <c r="B14" t="s">
        <v>79</v>
      </c>
      <c r="C14" s="1" t="s">
        <v>80</v>
      </c>
      <c r="D14" t="s">
        <v>81</v>
      </c>
      <c r="E14" t="s">
        <v>82</v>
      </c>
      <c r="G14">
        <v>300</v>
      </c>
      <c r="H14">
        <v>100</v>
      </c>
      <c r="I14">
        <v>100</v>
      </c>
      <c r="J14">
        <v>100</v>
      </c>
    </row>
    <row r="15" spans="1:10" x14ac:dyDescent="0.3">
      <c r="A15">
        <v>1</v>
      </c>
      <c r="B15" t="s">
        <v>10</v>
      </c>
      <c r="C15" s="1" t="s">
        <v>11</v>
      </c>
      <c r="D15" t="s">
        <v>12</v>
      </c>
      <c r="E15" t="s">
        <v>13</v>
      </c>
      <c r="G15">
        <v>300</v>
      </c>
      <c r="H15">
        <v>100</v>
      </c>
      <c r="I15">
        <v>100</v>
      </c>
      <c r="J15">
        <v>100</v>
      </c>
    </row>
    <row r="16" spans="1:10" x14ac:dyDescent="0.3">
      <c r="A16">
        <v>1</v>
      </c>
      <c r="B16" t="s">
        <v>33</v>
      </c>
      <c r="C16" s="1" t="s">
        <v>34</v>
      </c>
      <c r="D16" t="s">
        <v>16</v>
      </c>
      <c r="E16" t="s">
        <v>35</v>
      </c>
      <c r="G16">
        <v>300</v>
      </c>
      <c r="H16">
        <v>100</v>
      </c>
      <c r="I16">
        <v>100</v>
      </c>
      <c r="J16">
        <v>100</v>
      </c>
    </row>
    <row r="17" spans="1:10" x14ac:dyDescent="0.3">
      <c r="A17">
        <v>1</v>
      </c>
      <c r="B17" t="s">
        <v>36</v>
      </c>
      <c r="C17" s="1" t="s">
        <v>37</v>
      </c>
      <c r="D17" t="s">
        <v>16</v>
      </c>
      <c r="E17" t="s">
        <v>38</v>
      </c>
      <c r="G17">
        <v>300</v>
      </c>
      <c r="H17">
        <v>100</v>
      </c>
      <c r="I17">
        <v>100</v>
      </c>
      <c r="J17">
        <v>100</v>
      </c>
    </row>
    <row r="18" spans="1:10" x14ac:dyDescent="0.3">
      <c r="A18">
        <v>1</v>
      </c>
      <c r="B18" t="s">
        <v>145</v>
      </c>
      <c r="C18" s="1" t="s">
        <v>146</v>
      </c>
      <c r="D18" t="s">
        <v>147</v>
      </c>
      <c r="E18" t="s">
        <v>148</v>
      </c>
      <c r="G18">
        <v>300</v>
      </c>
      <c r="H18">
        <v>100</v>
      </c>
      <c r="I18">
        <v>100</v>
      </c>
      <c r="J18">
        <v>100</v>
      </c>
    </row>
    <row r="19" spans="1:10" x14ac:dyDescent="0.3">
      <c r="A19">
        <v>1</v>
      </c>
      <c r="B19" t="s">
        <v>70</v>
      </c>
      <c r="C19" s="1" t="s">
        <v>71</v>
      </c>
      <c r="D19" t="s">
        <v>16</v>
      </c>
      <c r="E19" t="s">
        <v>72</v>
      </c>
      <c r="G19">
        <v>300</v>
      </c>
      <c r="H19">
        <v>100</v>
      </c>
      <c r="I19">
        <v>100</v>
      </c>
      <c r="J19">
        <v>100</v>
      </c>
    </row>
    <row r="20" spans="1:10" x14ac:dyDescent="0.3">
      <c r="A20">
        <v>1</v>
      </c>
      <c r="B20" t="s">
        <v>173</v>
      </c>
      <c r="C20" s="1" t="s">
        <v>174</v>
      </c>
      <c r="D20" t="s">
        <v>133</v>
      </c>
      <c r="E20" t="s">
        <v>175</v>
      </c>
      <c r="G20">
        <v>300</v>
      </c>
      <c r="H20">
        <v>100</v>
      </c>
      <c r="I20">
        <v>100</v>
      </c>
      <c r="J20">
        <v>100</v>
      </c>
    </row>
    <row r="21" spans="1:10" x14ac:dyDescent="0.3">
      <c r="A21">
        <v>1</v>
      </c>
      <c r="B21" t="s">
        <v>385</v>
      </c>
      <c r="C21" s="1" t="s">
        <v>386</v>
      </c>
      <c r="D21" t="s">
        <v>346</v>
      </c>
      <c r="E21" t="s">
        <v>387</v>
      </c>
      <c r="G21">
        <v>300</v>
      </c>
      <c r="H21">
        <v>100</v>
      </c>
      <c r="I21">
        <v>100</v>
      </c>
      <c r="J21">
        <v>100</v>
      </c>
    </row>
    <row r="22" spans="1:10" x14ac:dyDescent="0.3">
      <c r="A22">
        <v>1</v>
      </c>
      <c r="B22" t="s">
        <v>260</v>
      </c>
      <c r="C22" s="1" t="s">
        <v>261</v>
      </c>
      <c r="D22" t="s">
        <v>96</v>
      </c>
      <c r="E22" t="s">
        <v>262</v>
      </c>
      <c r="G22">
        <v>300</v>
      </c>
      <c r="H22">
        <v>100</v>
      </c>
      <c r="I22">
        <v>100</v>
      </c>
      <c r="J22">
        <v>100</v>
      </c>
    </row>
    <row r="23" spans="1:10" x14ac:dyDescent="0.3">
      <c r="A23">
        <v>1</v>
      </c>
      <c r="B23" t="s">
        <v>374</v>
      </c>
      <c r="C23" s="1" t="s">
        <v>375</v>
      </c>
      <c r="D23" t="s">
        <v>24</v>
      </c>
      <c r="E23" t="s">
        <v>376</v>
      </c>
      <c r="G23">
        <v>300</v>
      </c>
      <c r="H23">
        <v>100</v>
      </c>
      <c r="I23">
        <v>100</v>
      </c>
      <c r="J23">
        <v>100</v>
      </c>
    </row>
    <row r="24" spans="1:10" x14ac:dyDescent="0.3">
      <c r="A24">
        <v>1</v>
      </c>
      <c r="B24" t="s">
        <v>153</v>
      </c>
      <c r="C24" s="1" t="s">
        <v>154</v>
      </c>
      <c r="D24" t="s">
        <v>155</v>
      </c>
      <c r="E24" t="s">
        <v>156</v>
      </c>
      <c r="G24">
        <v>300</v>
      </c>
      <c r="H24">
        <v>100</v>
      </c>
      <c r="I24">
        <v>100</v>
      </c>
      <c r="J24">
        <v>100</v>
      </c>
    </row>
    <row r="25" spans="1:10" x14ac:dyDescent="0.3">
      <c r="A25">
        <v>1</v>
      </c>
      <c r="B25" t="s">
        <v>66</v>
      </c>
      <c r="C25" s="1" t="s">
        <v>67</v>
      </c>
      <c r="D25" t="s">
        <v>68</v>
      </c>
      <c r="E25" t="s">
        <v>69</v>
      </c>
      <c r="G25">
        <v>300</v>
      </c>
      <c r="H25">
        <v>100</v>
      </c>
      <c r="I25">
        <v>100</v>
      </c>
      <c r="J25">
        <v>100</v>
      </c>
    </row>
    <row r="26" spans="1:10" x14ac:dyDescent="0.3">
      <c r="A26">
        <v>1</v>
      </c>
      <c r="B26" t="s">
        <v>263</v>
      </c>
      <c r="C26" s="1" t="s">
        <v>264</v>
      </c>
      <c r="D26" t="s">
        <v>147</v>
      </c>
      <c r="E26" t="s">
        <v>265</v>
      </c>
      <c r="G26">
        <v>300</v>
      </c>
      <c r="H26">
        <v>100</v>
      </c>
      <c r="I26">
        <v>100</v>
      </c>
      <c r="J26">
        <v>100</v>
      </c>
    </row>
    <row r="27" spans="1:10" x14ac:dyDescent="0.3">
      <c r="A27">
        <v>1</v>
      </c>
      <c r="B27" t="s">
        <v>54</v>
      </c>
      <c r="C27" s="1" t="s">
        <v>55</v>
      </c>
      <c r="D27" t="s">
        <v>56</v>
      </c>
      <c r="E27" t="s">
        <v>57</v>
      </c>
      <c r="G27">
        <v>300</v>
      </c>
      <c r="H27">
        <v>100</v>
      </c>
      <c r="I27">
        <v>100</v>
      </c>
      <c r="J27">
        <v>100</v>
      </c>
    </row>
    <row r="28" spans="1:10" x14ac:dyDescent="0.3">
      <c r="A28">
        <v>1</v>
      </c>
      <c r="B28" t="s">
        <v>183</v>
      </c>
      <c r="C28" s="1" t="s">
        <v>184</v>
      </c>
      <c r="D28" t="s">
        <v>104</v>
      </c>
      <c r="E28" t="s">
        <v>185</v>
      </c>
      <c r="G28">
        <v>300</v>
      </c>
      <c r="H28">
        <v>100</v>
      </c>
      <c r="I28">
        <v>100</v>
      </c>
      <c r="J28">
        <v>100</v>
      </c>
    </row>
    <row r="29" spans="1:10" x14ac:dyDescent="0.3">
      <c r="A29">
        <v>1</v>
      </c>
      <c r="B29" t="s">
        <v>43</v>
      </c>
      <c r="C29" s="1" t="s">
        <v>44</v>
      </c>
      <c r="D29" t="s">
        <v>24</v>
      </c>
      <c r="E29" t="s">
        <v>45</v>
      </c>
      <c r="G29">
        <v>300</v>
      </c>
      <c r="H29">
        <v>100</v>
      </c>
      <c r="I29">
        <v>100</v>
      </c>
      <c r="J29">
        <v>100</v>
      </c>
    </row>
    <row r="30" spans="1:10" x14ac:dyDescent="0.3">
      <c r="A30">
        <v>1</v>
      </c>
      <c r="B30" t="s">
        <v>22</v>
      </c>
      <c r="C30" s="1" t="s">
        <v>23</v>
      </c>
      <c r="D30" t="s">
        <v>24</v>
      </c>
      <c r="E30" t="s">
        <v>25</v>
      </c>
      <c r="G30">
        <v>300</v>
      </c>
      <c r="H30">
        <v>100</v>
      </c>
      <c r="I30">
        <v>100</v>
      </c>
      <c r="J30">
        <v>100</v>
      </c>
    </row>
    <row r="31" spans="1:10" x14ac:dyDescent="0.3">
      <c r="A31">
        <v>30</v>
      </c>
      <c r="B31" t="s">
        <v>326</v>
      </c>
      <c r="C31" s="1" t="s">
        <v>327</v>
      </c>
      <c r="D31" t="s">
        <v>223</v>
      </c>
      <c r="E31" t="s">
        <v>328</v>
      </c>
      <c r="G31">
        <v>296</v>
      </c>
      <c r="H31">
        <v>100</v>
      </c>
      <c r="I31">
        <v>100</v>
      </c>
      <c r="J31">
        <v>96</v>
      </c>
    </row>
    <row r="32" spans="1:10" x14ac:dyDescent="0.3">
      <c r="A32">
        <v>31</v>
      </c>
      <c r="B32" t="s">
        <v>228</v>
      </c>
      <c r="C32" s="1" t="s">
        <v>229</v>
      </c>
      <c r="D32" t="s">
        <v>126</v>
      </c>
      <c r="E32" t="s">
        <v>230</v>
      </c>
      <c r="G32">
        <v>288</v>
      </c>
      <c r="H32">
        <v>100</v>
      </c>
      <c r="I32">
        <v>100</v>
      </c>
      <c r="J32">
        <v>88</v>
      </c>
    </row>
    <row r="33" spans="1:10" x14ac:dyDescent="0.3">
      <c r="A33">
        <v>32</v>
      </c>
      <c r="B33" t="s">
        <v>296</v>
      </c>
      <c r="C33" s="1" t="s">
        <v>297</v>
      </c>
      <c r="D33" t="s">
        <v>178</v>
      </c>
      <c r="E33" t="s">
        <v>298</v>
      </c>
      <c r="G33">
        <v>284</v>
      </c>
      <c r="H33">
        <v>100</v>
      </c>
      <c r="I33">
        <v>100</v>
      </c>
      <c r="J33">
        <v>84</v>
      </c>
    </row>
    <row r="34" spans="1:10" x14ac:dyDescent="0.3">
      <c r="A34">
        <v>32</v>
      </c>
      <c r="B34" t="s">
        <v>221</v>
      </c>
      <c r="C34" s="1" t="s">
        <v>222</v>
      </c>
      <c r="D34" t="s">
        <v>223</v>
      </c>
      <c r="E34" t="s">
        <v>224</v>
      </c>
      <c r="G34">
        <v>284</v>
      </c>
      <c r="H34">
        <v>100</v>
      </c>
      <c r="I34">
        <v>100</v>
      </c>
      <c r="J34">
        <v>84</v>
      </c>
    </row>
    <row r="35" spans="1:10" x14ac:dyDescent="0.3">
      <c r="A35">
        <v>34</v>
      </c>
      <c r="B35" t="s">
        <v>329</v>
      </c>
      <c r="C35" s="1" t="s">
        <v>330</v>
      </c>
      <c r="D35" t="s">
        <v>216</v>
      </c>
      <c r="E35" t="s">
        <v>331</v>
      </c>
      <c r="G35">
        <v>272</v>
      </c>
      <c r="H35">
        <v>100</v>
      </c>
      <c r="I35">
        <v>100</v>
      </c>
      <c r="J35">
        <v>72</v>
      </c>
    </row>
    <row r="36" spans="1:10" x14ac:dyDescent="0.3">
      <c r="A36">
        <v>34</v>
      </c>
      <c r="B36" t="s">
        <v>436</v>
      </c>
      <c r="C36" s="1" t="s">
        <v>437</v>
      </c>
      <c r="D36" t="s">
        <v>438</v>
      </c>
      <c r="E36" t="s">
        <v>439</v>
      </c>
      <c r="G36">
        <v>272</v>
      </c>
      <c r="H36">
        <v>100</v>
      </c>
      <c r="I36">
        <v>100</v>
      </c>
      <c r="J36">
        <v>72</v>
      </c>
    </row>
    <row r="37" spans="1:10" x14ac:dyDescent="0.3">
      <c r="A37">
        <v>36</v>
      </c>
      <c r="B37" t="s">
        <v>180</v>
      </c>
      <c r="C37" s="1" t="s">
        <v>181</v>
      </c>
      <c r="D37" t="s">
        <v>178</v>
      </c>
      <c r="E37" t="s">
        <v>182</v>
      </c>
      <c r="G37">
        <v>260</v>
      </c>
      <c r="H37">
        <v>100</v>
      </c>
      <c r="I37">
        <v>60</v>
      </c>
      <c r="J37">
        <v>100</v>
      </c>
    </row>
    <row r="38" spans="1:10" x14ac:dyDescent="0.3">
      <c r="A38">
        <v>36</v>
      </c>
      <c r="B38" t="s">
        <v>243</v>
      </c>
      <c r="C38" s="1" t="s">
        <v>244</v>
      </c>
      <c r="D38" t="s">
        <v>191</v>
      </c>
      <c r="E38" t="s">
        <v>245</v>
      </c>
      <c r="G38">
        <v>260</v>
      </c>
      <c r="H38">
        <v>100</v>
      </c>
      <c r="I38">
        <v>100</v>
      </c>
      <c r="J38">
        <v>60</v>
      </c>
    </row>
    <row r="39" spans="1:10" x14ac:dyDescent="0.3">
      <c r="A39">
        <v>38</v>
      </c>
      <c r="B39" t="s">
        <v>427</v>
      </c>
      <c r="C39" s="1" t="s">
        <v>428</v>
      </c>
      <c r="D39" t="s">
        <v>254</v>
      </c>
      <c r="E39" t="s">
        <v>429</v>
      </c>
      <c r="G39">
        <v>252</v>
      </c>
      <c r="H39">
        <v>100</v>
      </c>
      <c r="I39">
        <v>100</v>
      </c>
      <c r="J39">
        <v>52</v>
      </c>
    </row>
    <row r="40" spans="1:10" x14ac:dyDescent="0.3">
      <c r="A40">
        <v>39</v>
      </c>
      <c r="B40" t="s">
        <v>482</v>
      </c>
      <c r="C40" s="1" t="s">
        <v>483</v>
      </c>
      <c r="D40" t="s">
        <v>24</v>
      </c>
      <c r="E40" t="s">
        <v>484</v>
      </c>
      <c r="G40">
        <v>248</v>
      </c>
      <c r="H40">
        <v>100</v>
      </c>
      <c r="I40">
        <v>100</v>
      </c>
      <c r="J40">
        <v>48</v>
      </c>
    </row>
    <row r="41" spans="1:10" x14ac:dyDescent="0.3">
      <c r="A41">
        <v>40</v>
      </c>
      <c r="B41" t="s">
        <v>116</v>
      </c>
      <c r="C41" s="1" t="s">
        <v>117</v>
      </c>
      <c r="D41" t="s">
        <v>118</v>
      </c>
      <c r="E41" t="s">
        <v>119</v>
      </c>
      <c r="G41">
        <v>244</v>
      </c>
      <c r="H41">
        <v>100</v>
      </c>
      <c r="I41">
        <v>44</v>
      </c>
      <c r="J41">
        <v>100</v>
      </c>
    </row>
    <row r="42" spans="1:10" x14ac:dyDescent="0.3">
      <c r="A42">
        <v>41</v>
      </c>
      <c r="B42" t="s">
        <v>357</v>
      </c>
      <c r="C42" s="1" t="s">
        <v>358</v>
      </c>
      <c r="D42" t="s">
        <v>68</v>
      </c>
      <c r="E42" t="s">
        <v>359</v>
      </c>
      <c r="G42">
        <v>240</v>
      </c>
      <c r="H42">
        <v>100</v>
      </c>
      <c r="I42">
        <v>100</v>
      </c>
      <c r="J42">
        <v>40</v>
      </c>
    </row>
    <row r="43" spans="1:10" x14ac:dyDescent="0.3">
      <c r="A43">
        <v>41</v>
      </c>
      <c r="B43" t="s">
        <v>176</v>
      </c>
      <c r="C43" s="1" t="s">
        <v>177</v>
      </c>
      <c r="D43" t="s">
        <v>178</v>
      </c>
      <c r="E43" t="s">
        <v>179</v>
      </c>
      <c r="G43">
        <v>240</v>
      </c>
      <c r="H43">
        <v>100</v>
      </c>
      <c r="I43">
        <v>44</v>
      </c>
      <c r="J43">
        <v>96</v>
      </c>
    </row>
    <row r="44" spans="1:10" x14ac:dyDescent="0.3">
      <c r="A44">
        <v>43</v>
      </c>
      <c r="B44" t="s">
        <v>246</v>
      </c>
      <c r="C44" s="1" t="s">
        <v>247</v>
      </c>
      <c r="D44" t="s">
        <v>178</v>
      </c>
      <c r="E44" t="s">
        <v>248</v>
      </c>
      <c r="G44">
        <v>236</v>
      </c>
      <c r="H44">
        <v>100</v>
      </c>
      <c r="I44">
        <v>44</v>
      </c>
      <c r="J44">
        <v>92</v>
      </c>
    </row>
    <row r="45" spans="1:10" x14ac:dyDescent="0.3">
      <c r="A45">
        <v>43</v>
      </c>
      <c r="B45" t="s">
        <v>277</v>
      </c>
      <c r="C45" s="1" t="s">
        <v>278</v>
      </c>
      <c r="D45" t="s">
        <v>60</v>
      </c>
      <c r="E45" t="s">
        <v>279</v>
      </c>
      <c r="G45">
        <v>236</v>
      </c>
      <c r="H45">
        <v>100</v>
      </c>
      <c r="I45">
        <v>36</v>
      </c>
      <c r="J45">
        <v>100</v>
      </c>
    </row>
    <row r="46" spans="1:10" x14ac:dyDescent="0.3">
      <c r="A46">
        <v>43</v>
      </c>
      <c r="B46" t="s">
        <v>160</v>
      </c>
      <c r="C46" s="1" t="s">
        <v>161</v>
      </c>
      <c r="D46" t="s">
        <v>60</v>
      </c>
      <c r="E46" t="s">
        <v>162</v>
      </c>
      <c r="G46">
        <v>236</v>
      </c>
      <c r="H46">
        <v>100</v>
      </c>
      <c r="I46">
        <v>100</v>
      </c>
      <c r="J46">
        <v>36</v>
      </c>
    </row>
    <row r="47" spans="1:10" x14ac:dyDescent="0.3">
      <c r="A47">
        <v>43</v>
      </c>
      <c r="B47" t="s">
        <v>124</v>
      </c>
      <c r="C47" s="1" t="s">
        <v>125</v>
      </c>
      <c r="D47" t="s">
        <v>126</v>
      </c>
      <c r="E47" t="s">
        <v>127</v>
      </c>
      <c r="G47">
        <v>236</v>
      </c>
      <c r="H47">
        <v>100</v>
      </c>
      <c r="I47">
        <v>36</v>
      </c>
      <c r="J47">
        <v>100</v>
      </c>
    </row>
    <row r="48" spans="1:10" x14ac:dyDescent="0.3">
      <c r="A48">
        <v>43</v>
      </c>
      <c r="B48" t="s">
        <v>507</v>
      </c>
      <c r="C48" s="1" t="s">
        <v>508</v>
      </c>
      <c r="D48" t="s">
        <v>16</v>
      </c>
      <c r="E48" t="s">
        <v>509</v>
      </c>
      <c r="G48">
        <v>236</v>
      </c>
      <c r="H48">
        <v>100</v>
      </c>
      <c r="I48">
        <v>36</v>
      </c>
      <c r="J48">
        <v>100</v>
      </c>
    </row>
    <row r="49" spans="1:10" x14ac:dyDescent="0.3">
      <c r="A49">
        <v>43</v>
      </c>
      <c r="B49" t="s">
        <v>256</v>
      </c>
      <c r="C49" s="1" t="s">
        <v>257</v>
      </c>
      <c r="D49" t="s">
        <v>258</v>
      </c>
      <c r="E49" t="s">
        <v>259</v>
      </c>
      <c r="G49">
        <v>236</v>
      </c>
      <c r="H49">
        <v>100</v>
      </c>
      <c r="I49">
        <v>100</v>
      </c>
      <c r="J49">
        <v>36</v>
      </c>
    </row>
    <row r="50" spans="1:10" x14ac:dyDescent="0.3">
      <c r="A50">
        <v>43</v>
      </c>
      <c r="B50" t="s">
        <v>274</v>
      </c>
      <c r="C50" s="1" t="s">
        <v>275</v>
      </c>
      <c r="D50" t="s">
        <v>60</v>
      </c>
      <c r="E50" t="s">
        <v>276</v>
      </c>
      <c r="G50">
        <v>236</v>
      </c>
      <c r="H50">
        <v>100</v>
      </c>
      <c r="I50">
        <v>36</v>
      </c>
      <c r="J50">
        <v>100</v>
      </c>
    </row>
    <row r="51" spans="1:10" x14ac:dyDescent="0.3">
      <c r="A51">
        <v>43</v>
      </c>
      <c r="B51" t="s">
        <v>269</v>
      </c>
      <c r="C51" s="1" t="s">
        <v>270</v>
      </c>
      <c r="D51" t="s">
        <v>81</v>
      </c>
      <c r="E51" t="s">
        <v>271</v>
      </c>
      <c r="G51">
        <v>236</v>
      </c>
      <c r="H51">
        <v>100</v>
      </c>
      <c r="I51">
        <v>100</v>
      </c>
      <c r="J51">
        <v>36</v>
      </c>
    </row>
    <row r="52" spans="1:10" x14ac:dyDescent="0.3">
      <c r="A52">
        <v>43</v>
      </c>
      <c r="B52" t="s">
        <v>202</v>
      </c>
      <c r="C52" s="1" t="s">
        <v>203</v>
      </c>
      <c r="D52" t="s">
        <v>81</v>
      </c>
      <c r="E52" t="s">
        <v>204</v>
      </c>
      <c r="G52">
        <v>236</v>
      </c>
      <c r="H52">
        <v>100</v>
      </c>
      <c r="I52">
        <v>100</v>
      </c>
      <c r="J52">
        <v>36</v>
      </c>
    </row>
    <row r="53" spans="1:10" x14ac:dyDescent="0.3">
      <c r="A53">
        <v>43</v>
      </c>
      <c r="B53" t="s">
        <v>476</v>
      </c>
      <c r="C53" s="1" t="s">
        <v>477</v>
      </c>
      <c r="D53" t="s">
        <v>81</v>
      </c>
      <c r="E53" t="s">
        <v>478</v>
      </c>
      <c r="G53">
        <v>236</v>
      </c>
      <c r="H53">
        <v>100</v>
      </c>
      <c r="I53">
        <v>36</v>
      </c>
      <c r="J53">
        <v>100</v>
      </c>
    </row>
    <row r="54" spans="1:10" x14ac:dyDescent="0.3">
      <c r="A54">
        <v>53</v>
      </c>
      <c r="B54" t="s">
        <v>87</v>
      </c>
      <c r="C54" s="1" t="s">
        <v>88</v>
      </c>
      <c r="D54" t="s">
        <v>89</v>
      </c>
      <c r="E54" t="s">
        <v>90</v>
      </c>
      <c r="G54">
        <v>224</v>
      </c>
      <c r="H54">
        <v>100</v>
      </c>
      <c r="I54">
        <v>100</v>
      </c>
      <c r="J54">
        <v>24</v>
      </c>
    </row>
    <row r="55" spans="1:10" x14ac:dyDescent="0.3">
      <c r="A55">
        <v>53</v>
      </c>
      <c r="B55" t="s">
        <v>252</v>
      </c>
      <c r="C55" s="1" t="s">
        <v>253</v>
      </c>
      <c r="D55" t="s">
        <v>254</v>
      </c>
      <c r="E55" t="s">
        <v>255</v>
      </c>
      <c r="F55" t="s">
        <v>252</v>
      </c>
      <c r="G55">
        <v>224</v>
      </c>
      <c r="H55">
        <v>100</v>
      </c>
      <c r="I55">
        <v>100</v>
      </c>
      <c r="J55">
        <v>24</v>
      </c>
    </row>
    <row r="56" spans="1:10" x14ac:dyDescent="0.3">
      <c r="A56">
        <v>53</v>
      </c>
      <c r="B56" t="s">
        <v>214</v>
      </c>
      <c r="C56" s="1" t="s">
        <v>215</v>
      </c>
      <c r="D56" t="s">
        <v>216</v>
      </c>
      <c r="E56" t="s">
        <v>217</v>
      </c>
      <c r="G56">
        <v>224</v>
      </c>
      <c r="H56">
        <v>100</v>
      </c>
      <c r="I56">
        <v>100</v>
      </c>
      <c r="J56">
        <v>24</v>
      </c>
    </row>
    <row r="57" spans="1:10" x14ac:dyDescent="0.3">
      <c r="A57">
        <v>53</v>
      </c>
      <c r="B57" t="s">
        <v>106</v>
      </c>
      <c r="C57" s="1" t="s">
        <v>107</v>
      </c>
      <c r="D57" t="s">
        <v>108</v>
      </c>
      <c r="E57" t="s">
        <v>109</v>
      </c>
      <c r="G57">
        <v>224</v>
      </c>
      <c r="H57">
        <v>100</v>
      </c>
      <c r="I57">
        <v>100</v>
      </c>
      <c r="J57">
        <v>24</v>
      </c>
    </row>
    <row r="58" spans="1:10" x14ac:dyDescent="0.3">
      <c r="A58">
        <v>53</v>
      </c>
      <c r="B58" t="s">
        <v>76</v>
      </c>
      <c r="C58" s="1" t="s">
        <v>77</v>
      </c>
      <c r="D58" t="s">
        <v>64</v>
      </c>
      <c r="E58" t="s">
        <v>78</v>
      </c>
      <c r="G58">
        <v>224</v>
      </c>
      <c r="H58">
        <v>100</v>
      </c>
      <c r="I58">
        <v>100</v>
      </c>
      <c r="J58">
        <v>24</v>
      </c>
    </row>
    <row r="59" spans="1:10" x14ac:dyDescent="0.3">
      <c r="A59">
        <v>53</v>
      </c>
      <c r="B59" t="s">
        <v>50</v>
      </c>
      <c r="C59" s="1" t="s">
        <v>51</v>
      </c>
      <c r="D59" t="s">
        <v>52</v>
      </c>
      <c r="E59" t="s">
        <v>53</v>
      </c>
      <c r="G59">
        <v>224</v>
      </c>
      <c r="H59">
        <v>100</v>
      </c>
      <c r="I59">
        <v>100</v>
      </c>
      <c r="J59">
        <v>24</v>
      </c>
    </row>
    <row r="60" spans="1:10" x14ac:dyDescent="0.3">
      <c r="A60">
        <v>53</v>
      </c>
      <c r="B60" t="s">
        <v>491</v>
      </c>
      <c r="C60" s="1" t="s">
        <v>492</v>
      </c>
      <c r="D60" t="s">
        <v>178</v>
      </c>
      <c r="E60" t="s">
        <v>493</v>
      </c>
      <c r="G60">
        <v>224</v>
      </c>
      <c r="H60">
        <v>100</v>
      </c>
      <c r="I60">
        <v>100</v>
      </c>
      <c r="J60">
        <v>24</v>
      </c>
    </row>
    <row r="61" spans="1:10" x14ac:dyDescent="0.3">
      <c r="A61">
        <v>53</v>
      </c>
      <c r="B61" t="s">
        <v>157</v>
      </c>
      <c r="C61" s="1" t="s">
        <v>158</v>
      </c>
      <c r="D61" t="s">
        <v>81</v>
      </c>
      <c r="E61" t="s">
        <v>159</v>
      </c>
      <c r="G61">
        <v>224</v>
      </c>
      <c r="H61">
        <v>100</v>
      </c>
      <c r="I61">
        <v>100</v>
      </c>
      <c r="J61">
        <v>24</v>
      </c>
    </row>
    <row r="62" spans="1:10" x14ac:dyDescent="0.3">
      <c r="A62">
        <v>53</v>
      </c>
      <c r="B62" t="s">
        <v>317</v>
      </c>
      <c r="C62" s="1" t="s">
        <v>318</v>
      </c>
      <c r="D62" t="s">
        <v>178</v>
      </c>
      <c r="E62" t="s">
        <v>319</v>
      </c>
      <c r="G62">
        <v>224</v>
      </c>
      <c r="H62">
        <v>100</v>
      </c>
      <c r="I62">
        <v>100</v>
      </c>
      <c r="J62">
        <v>24</v>
      </c>
    </row>
    <row r="63" spans="1:10" x14ac:dyDescent="0.3">
      <c r="A63">
        <v>53</v>
      </c>
      <c r="B63" t="s">
        <v>225</v>
      </c>
      <c r="C63" s="1" t="s">
        <v>226</v>
      </c>
      <c r="E63" t="s">
        <v>227</v>
      </c>
      <c r="G63">
        <v>224</v>
      </c>
      <c r="H63">
        <v>100</v>
      </c>
      <c r="I63">
        <v>36</v>
      </c>
      <c r="J63">
        <v>88</v>
      </c>
    </row>
    <row r="64" spans="1:10" x14ac:dyDescent="0.3">
      <c r="A64">
        <v>53</v>
      </c>
      <c r="B64" t="s">
        <v>73</v>
      </c>
      <c r="C64" s="1" t="s">
        <v>74</v>
      </c>
      <c r="D64" t="s">
        <v>28</v>
      </c>
      <c r="E64" t="s">
        <v>75</v>
      </c>
      <c r="G64">
        <v>224</v>
      </c>
      <c r="H64">
        <v>100</v>
      </c>
      <c r="I64">
        <v>100</v>
      </c>
      <c r="J64">
        <v>24</v>
      </c>
    </row>
    <row r="65" spans="1:10" x14ac:dyDescent="0.3">
      <c r="A65">
        <v>53</v>
      </c>
      <c r="B65" t="s">
        <v>18</v>
      </c>
      <c r="C65" s="1" t="s">
        <v>19</v>
      </c>
      <c r="D65" t="s">
        <v>20</v>
      </c>
      <c r="E65" t="s">
        <v>21</v>
      </c>
      <c r="G65">
        <v>224</v>
      </c>
      <c r="H65">
        <v>100</v>
      </c>
      <c r="I65">
        <v>100</v>
      </c>
      <c r="J65">
        <v>24</v>
      </c>
    </row>
    <row r="66" spans="1:10" x14ac:dyDescent="0.3">
      <c r="A66">
        <v>53</v>
      </c>
      <c r="B66" t="s">
        <v>536</v>
      </c>
      <c r="C66" s="1" t="s">
        <v>537</v>
      </c>
      <c r="D66" t="s">
        <v>191</v>
      </c>
      <c r="E66" t="s">
        <v>538</v>
      </c>
      <c r="G66">
        <v>224</v>
      </c>
      <c r="H66">
        <v>100</v>
      </c>
      <c r="I66">
        <v>100</v>
      </c>
      <c r="J66">
        <v>24</v>
      </c>
    </row>
    <row r="67" spans="1:10" x14ac:dyDescent="0.3">
      <c r="A67">
        <v>66</v>
      </c>
      <c r="B67" t="s">
        <v>14</v>
      </c>
      <c r="C67" s="1" t="s">
        <v>15</v>
      </c>
      <c r="D67" t="s">
        <v>16</v>
      </c>
      <c r="E67" t="s">
        <v>17</v>
      </c>
      <c r="G67">
        <v>220</v>
      </c>
      <c r="H67">
        <v>100</v>
      </c>
      <c r="I67">
        <v>100</v>
      </c>
      <c r="J67">
        <v>20</v>
      </c>
    </row>
    <row r="68" spans="1:10" x14ac:dyDescent="0.3">
      <c r="A68">
        <v>66</v>
      </c>
      <c r="B68" t="s">
        <v>539</v>
      </c>
      <c r="C68" s="1" t="s">
        <v>540</v>
      </c>
      <c r="D68" t="s">
        <v>541</v>
      </c>
      <c r="E68" t="s">
        <v>542</v>
      </c>
      <c r="G68">
        <v>220</v>
      </c>
      <c r="H68">
        <v>100</v>
      </c>
      <c r="I68">
        <v>100</v>
      </c>
      <c r="J68">
        <v>20</v>
      </c>
    </row>
    <row r="69" spans="1:10" x14ac:dyDescent="0.3">
      <c r="A69">
        <v>66</v>
      </c>
      <c r="B69" t="s">
        <v>433</v>
      </c>
      <c r="C69" s="1" t="s">
        <v>434</v>
      </c>
      <c r="D69" t="s">
        <v>81</v>
      </c>
      <c r="E69" t="s">
        <v>435</v>
      </c>
      <c r="G69">
        <v>220</v>
      </c>
      <c r="H69">
        <v>100</v>
      </c>
      <c r="I69">
        <v>100</v>
      </c>
      <c r="J69">
        <v>20</v>
      </c>
    </row>
    <row r="70" spans="1:10" x14ac:dyDescent="0.3">
      <c r="A70">
        <v>69</v>
      </c>
      <c r="B70" t="s">
        <v>149</v>
      </c>
      <c r="C70" s="1" t="s">
        <v>150</v>
      </c>
      <c r="D70" t="s">
        <v>151</v>
      </c>
      <c r="E70" t="s">
        <v>152</v>
      </c>
      <c r="G70">
        <v>216</v>
      </c>
      <c r="H70">
        <v>100</v>
      </c>
      <c r="I70">
        <v>100</v>
      </c>
      <c r="J70">
        <v>16</v>
      </c>
    </row>
    <row r="71" spans="1:10" x14ac:dyDescent="0.3">
      <c r="A71">
        <v>69</v>
      </c>
      <c r="B71" t="s">
        <v>166</v>
      </c>
      <c r="C71" s="1" t="s">
        <v>167</v>
      </c>
      <c r="D71" t="s">
        <v>168</v>
      </c>
      <c r="E71" t="s">
        <v>169</v>
      </c>
      <c r="G71">
        <v>216</v>
      </c>
      <c r="H71">
        <v>100</v>
      </c>
      <c r="I71">
        <v>100</v>
      </c>
      <c r="J71">
        <v>16</v>
      </c>
    </row>
    <row r="72" spans="1:10" x14ac:dyDescent="0.3">
      <c r="A72">
        <v>69</v>
      </c>
      <c r="B72" t="s">
        <v>532</v>
      </c>
      <c r="C72" s="1" t="s">
        <v>533</v>
      </c>
      <c r="D72" t="s">
        <v>534</v>
      </c>
      <c r="E72" t="s">
        <v>535</v>
      </c>
      <c r="G72">
        <v>216</v>
      </c>
      <c r="H72">
        <v>100</v>
      </c>
      <c r="I72">
        <v>100</v>
      </c>
      <c r="J72">
        <v>16</v>
      </c>
    </row>
    <row r="73" spans="1:10" x14ac:dyDescent="0.3">
      <c r="A73">
        <v>72</v>
      </c>
      <c r="B73" t="s">
        <v>459</v>
      </c>
      <c r="C73" s="1" t="s">
        <v>460</v>
      </c>
      <c r="D73" t="s">
        <v>461</v>
      </c>
      <c r="E73" t="s">
        <v>462</v>
      </c>
      <c r="G73">
        <v>212</v>
      </c>
      <c r="H73">
        <v>100</v>
      </c>
      <c r="I73">
        <v>100</v>
      </c>
      <c r="J73">
        <v>12</v>
      </c>
    </row>
    <row r="74" spans="1:10" x14ac:dyDescent="0.3">
      <c r="A74">
        <v>72</v>
      </c>
      <c r="B74" t="s">
        <v>205</v>
      </c>
      <c r="C74" s="1" t="s">
        <v>206</v>
      </c>
      <c r="D74" t="s">
        <v>89</v>
      </c>
      <c r="E74" t="s">
        <v>207</v>
      </c>
      <c r="G74">
        <v>212</v>
      </c>
      <c r="H74">
        <v>100</v>
      </c>
      <c r="I74">
        <v>92</v>
      </c>
      <c r="J74">
        <v>20</v>
      </c>
    </row>
    <row r="75" spans="1:10" x14ac:dyDescent="0.3">
      <c r="A75">
        <v>74</v>
      </c>
      <c r="B75" t="s">
        <v>293</v>
      </c>
      <c r="C75" s="1" t="s">
        <v>294</v>
      </c>
      <c r="D75" t="s">
        <v>216</v>
      </c>
      <c r="E75" t="s">
        <v>295</v>
      </c>
      <c r="G75">
        <v>208</v>
      </c>
      <c r="H75">
        <v>100</v>
      </c>
      <c r="I75">
        <v>36</v>
      </c>
      <c r="J75">
        <v>72</v>
      </c>
    </row>
    <row r="76" spans="1:10" x14ac:dyDescent="0.3">
      <c r="A76">
        <v>74</v>
      </c>
      <c r="B76" t="s">
        <v>199</v>
      </c>
      <c r="C76" s="1" t="s">
        <v>200</v>
      </c>
      <c r="D76" t="s">
        <v>28</v>
      </c>
      <c r="E76" t="s">
        <v>201</v>
      </c>
      <c r="G76">
        <v>208</v>
      </c>
      <c r="H76">
        <v>100</v>
      </c>
      <c r="I76">
        <v>36</v>
      </c>
      <c r="J76">
        <v>72</v>
      </c>
    </row>
    <row r="77" spans="1:10" x14ac:dyDescent="0.3">
      <c r="A77">
        <v>74</v>
      </c>
      <c r="B77" t="s">
        <v>102</v>
      </c>
      <c r="C77" s="1" t="s">
        <v>103</v>
      </c>
      <c r="D77" t="s">
        <v>104</v>
      </c>
      <c r="E77" t="s">
        <v>105</v>
      </c>
      <c r="G77">
        <v>208</v>
      </c>
      <c r="H77">
        <v>100</v>
      </c>
      <c r="I77">
        <v>100</v>
      </c>
      <c r="J77">
        <v>8</v>
      </c>
    </row>
    <row r="78" spans="1:10" x14ac:dyDescent="0.3">
      <c r="A78">
        <v>77</v>
      </c>
      <c r="B78" t="s">
        <v>196</v>
      </c>
      <c r="C78" s="1" t="s">
        <v>197</v>
      </c>
      <c r="D78" t="s">
        <v>20</v>
      </c>
      <c r="E78" t="s">
        <v>198</v>
      </c>
      <c r="G78">
        <v>204</v>
      </c>
      <c r="H78">
        <v>100</v>
      </c>
      <c r="I78">
        <v>100</v>
      </c>
      <c r="J78">
        <v>4</v>
      </c>
    </row>
    <row r="79" spans="1:10" x14ac:dyDescent="0.3">
      <c r="A79">
        <v>78</v>
      </c>
      <c r="B79" t="s">
        <v>98</v>
      </c>
      <c r="C79" s="1" t="s">
        <v>99</v>
      </c>
      <c r="D79" t="s">
        <v>100</v>
      </c>
      <c r="E79" t="s">
        <v>101</v>
      </c>
      <c r="G79">
        <v>200</v>
      </c>
      <c r="H79">
        <v>100</v>
      </c>
      <c r="I79">
        <v>100</v>
      </c>
      <c r="J79">
        <v>0</v>
      </c>
    </row>
    <row r="80" spans="1:10" x14ac:dyDescent="0.3">
      <c r="A80">
        <v>78</v>
      </c>
      <c r="B80" t="s">
        <v>394</v>
      </c>
      <c r="C80" s="1" t="s">
        <v>395</v>
      </c>
      <c r="D80" t="s">
        <v>178</v>
      </c>
      <c r="E80" t="s">
        <v>396</v>
      </c>
      <c r="G80">
        <v>200</v>
      </c>
      <c r="H80">
        <v>100</v>
      </c>
      <c r="I80">
        <v>100</v>
      </c>
      <c r="J80">
        <v>0</v>
      </c>
    </row>
    <row r="81" spans="1:10" x14ac:dyDescent="0.3">
      <c r="A81">
        <v>78</v>
      </c>
      <c r="B81" t="s">
        <v>553</v>
      </c>
      <c r="C81" s="1" t="s">
        <v>554</v>
      </c>
      <c r="D81" t="s">
        <v>555</v>
      </c>
      <c r="E81" t="s">
        <v>556</v>
      </c>
      <c r="G81">
        <v>200</v>
      </c>
      <c r="H81">
        <v>100</v>
      </c>
      <c r="I81">
        <v>100</v>
      </c>
      <c r="J81">
        <v>0</v>
      </c>
    </row>
    <row r="82" spans="1:10" x14ac:dyDescent="0.3">
      <c r="A82">
        <v>78</v>
      </c>
      <c r="B82" t="s">
        <v>423</v>
      </c>
      <c r="C82" s="1" t="s">
        <v>424</v>
      </c>
      <c r="D82" t="s">
        <v>425</v>
      </c>
      <c r="E82" t="s">
        <v>426</v>
      </c>
      <c r="G82">
        <v>200</v>
      </c>
      <c r="H82">
        <v>100</v>
      </c>
      <c r="I82">
        <v>36</v>
      </c>
      <c r="J82">
        <v>64</v>
      </c>
    </row>
    <row r="83" spans="1:10" x14ac:dyDescent="0.3">
      <c r="A83">
        <v>78</v>
      </c>
      <c r="B83" t="s">
        <v>566</v>
      </c>
      <c r="C83" s="1" t="s">
        <v>567</v>
      </c>
      <c r="D83" t="s">
        <v>568</v>
      </c>
      <c r="E83" t="s">
        <v>569</v>
      </c>
      <c r="G83">
        <v>200</v>
      </c>
      <c r="H83">
        <v>100</v>
      </c>
      <c r="I83">
        <v>100</v>
      </c>
      <c r="J83">
        <v>0</v>
      </c>
    </row>
    <row r="84" spans="1:10" x14ac:dyDescent="0.3">
      <c r="A84">
        <v>78</v>
      </c>
      <c r="B84" t="s">
        <v>237</v>
      </c>
      <c r="C84" s="1" t="s">
        <v>238</v>
      </c>
      <c r="D84" t="s">
        <v>216</v>
      </c>
      <c r="E84" t="s">
        <v>239</v>
      </c>
      <c r="G84">
        <v>200</v>
      </c>
      <c r="H84">
        <v>100</v>
      </c>
      <c r="I84">
        <v>100</v>
      </c>
      <c r="J84">
        <v>0</v>
      </c>
    </row>
    <row r="85" spans="1:10" x14ac:dyDescent="0.3">
      <c r="A85">
        <v>78</v>
      </c>
      <c r="B85" t="s">
        <v>307</v>
      </c>
      <c r="C85" s="1" t="s">
        <v>308</v>
      </c>
      <c r="D85" t="s">
        <v>52</v>
      </c>
      <c r="E85" t="s">
        <v>309</v>
      </c>
      <c r="G85">
        <v>200</v>
      </c>
      <c r="H85">
        <v>100</v>
      </c>
      <c r="I85">
        <v>60</v>
      </c>
      <c r="J85">
        <v>40</v>
      </c>
    </row>
    <row r="86" spans="1:10" x14ac:dyDescent="0.3">
      <c r="A86">
        <v>78</v>
      </c>
      <c r="B86" t="s">
        <v>46</v>
      </c>
      <c r="C86" s="1" t="s">
        <v>47</v>
      </c>
      <c r="D86" t="s">
        <v>48</v>
      </c>
      <c r="E86" t="s">
        <v>49</v>
      </c>
      <c r="G86">
        <v>200</v>
      </c>
      <c r="H86">
        <v>100</v>
      </c>
      <c r="I86">
        <v>100</v>
      </c>
      <c r="J86">
        <v>0</v>
      </c>
    </row>
    <row r="87" spans="1:10" x14ac:dyDescent="0.3">
      <c r="A87">
        <v>78</v>
      </c>
      <c r="B87" t="s">
        <v>249</v>
      </c>
      <c r="C87" s="1" t="s">
        <v>250</v>
      </c>
      <c r="D87" t="s">
        <v>191</v>
      </c>
      <c r="E87" t="s">
        <v>251</v>
      </c>
      <c r="G87">
        <v>200</v>
      </c>
      <c r="H87">
        <v>100</v>
      </c>
      <c r="I87">
        <v>100</v>
      </c>
      <c r="J87">
        <v>0</v>
      </c>
    </row>
    <row r="88" spans="1:10" x14ac:dyDescent="0.3">
      <c r="A88">
        <v>78</v>
      </c>
      <c r="B88" t="s">
        <v>189</v>
      </c>
      <c r="C88" s="1" t="s">
        <v>190</v>
      </c>
      <c r="D88" t="s">
        <v>191</v>
      </c>
      <c r="E88" t="s">
        <v>192</v>
      </c>
      <c r="G88">
        <v>200</v>
      </c>
      <c r="H88">
        <v>100</v>
      </c>
      <c r="I88">
        <v>100</v>
      </c>
      <c r="J88">
        <v>0</v>
      </c>
    </row>
    <row r="89" spans="1:10" x14ac:dyDescent="0.3">
      <c r="A89">
        <v>78</v>
      </c>
      <c r="B89" t="s">
        <v>344</v>
      </c>
      <c r="C89" s="1" t="s">
        <v>345</v>
      </c>
      <c r="D89" t="s">
        <v>346</v>
      </c>
      <c r="E89" t="s">
        <v>347</v>
      </c>
      <c r="G89">
        <v>200</v>
      </c>
      <c r="H89">
        <v>100</v>
      </c>
      <c r="I89">
        <v>0</v>
      </c>
      <c r="J89">
        <v>100</v>
      </c>
    </row>
    <row r="90" spans="1:10" x14ac:dyDescent="0.3">
      <c r="A90">
        <v>89</v>
      </c>
      <c r="B90" t="s">
        <v>240</v>
      </c>
      <c r="C90" s="1" t="s">
        <v>241</v>
      </c>
      <c r="D90" t="s">
        <v>108</v>
      </c>
      <c r="E90" t="s">
        <v>242</v>
      </c>
      <c r="G90">
        <v>192</v>
      </c>
      <c r="H90">
        <v>100</v>
      </c>
      <c r="I90">
        <v>92</v>
      </c>
      <c r="J90">
        <v>0</v>
      </c>
    </row>
    <row r="91" spans="1:10" x14ac:dyDescent="0.3">
      <c r="A91">
        <v>90</v>
      </c>
      <c r="B91" t="s">
        <v>280</v>
      </c>
      <c r="C91" s="1" t="s">
        <v>281</v>
      </c>
      <c r="D91" t="s">
        <v>282</v>
      </c>
      <c r="E91" t="s">
        <v>283</v>
      </c>
      <c r="G91">
        <v>188</v>
      </c>
      <c r="H91">
        <v>100</v>
      </c>
      <c r="I91">
        <v>36</v>
      </c>
      <c r="J91">
        <v>52</v>
      </c>
    </row>
    <row r="92" spans="1:10" x14ac:dyDescent="0.3">
      <c r="A92">
        <v>90</v>
      </c>
      <c r="B92" t="s">
        <v>335</v>
      </c>
      <c r="C92" s="1" t="s">
        <v>336</v>
      </c>
      <c r="D92" t="s">
        <v>16</v>
      </c>
      <c r="E92" t="s">
        <v>337</v>
      </c>
      <c r="G92">
        <v>188</v>
      </c>
      <c r="H92">
        <v>100</v>
      </c>
      <c r="I92">
        <v>60</v>
      </c>
      <c r="J92">
        <v>28</v>
      </c>
    </row>
    <row r="93" spans="1:10" x14ac:dyDescent="0.3">
      <c r="A93">
        <v>90</v>
      </c>
      <c r="B93" t="s">
        <v>218</v>
      </c>
      <c r="C93" s="1" t="s">
        <v>219</v>
      </c>
      <c r="D93" t="s">
        <v>16</v>
      </c>
      <c r="E93" t="s">
        <v>220</v>
      </c>
      <c r="G93">
        <v>188</v>
      </c>
      <c r="H93">
        <v>100</v>
      </c>
      <c r="I93">
        <v>36</v>
      </c>
      <c r="J93">
        <v>52</v>
      </c>
    </row>
    <row r="94" spans="1:10" x14ac:dyDescent="0.3">
      <c r="A94">
        <v>93</v>
      </c>
      <c r="B94" t="s">
        <v>299</v>
      </c>
      <c r="C94" s="1" t="s">
        <v>300</v>
      </c>
      <c r="D94" t="s">
        <v>301</v>
      </c>
      <c r="E94" t="s">
        <v>302</v>
      </c>
      <c r="G94">
        <v>184</v>
      </c>
      <c r="H94">
        <v>100</v>
      </c>
      <c r="I94">
        <v>60</v>
      </c>
      <c r="J94">
        <v>24</v>
      </c>
    </row>
    <row r="95" spans="1:10" x14ac:dyDescent="0.3">
      <c r="A95">
        <v>93</v>
      </c>
      <c r="B95" t="s">
        <v>479</v>
      </c>
      <c r="C95" s="1" t="s">
        <v>480</v>
      </c>
      <c r="D95" t="s">
        <v>81</v>
      </c>
      <c r="E95" t="s">
        <v>481</v>
      </c>
      <c r="G95">
        <v>184</v>
      </c>
      <c r="H95">
        <v>100</v>
      </c>
      <c r="I95">
        <v>60</v>
      </c>
      <c r="J95">
        <v>24</v>
      </c>
    </row>
    <row r="96" spans="1:10" x14ac:dyDescent="0.3">
      <c r="A96">
        <v>95</v>
      </c>
      <c r="B96" t="s">
        <v>310</v>
      </c>
      <c r="C96" s="1" t="s">
        <v>311</v>
      </c>
      <c r="D96" t="s">
        <v>89</v>
      </c>
      <c r="E96" t="s">
        <v>312</v>
      </c>
      <c r="G96">
        <v>180</v>
      </c>
      <c r="H96">
        <v>100</v>
      </c>
      <c r="I96">
        <v>44</v>
      </c>
      <c r="J96">
        <v>36</v>
      </c>
    </row>
    <row r="97" spans="1:10" x14ac:dyDescent="0.3">
      <c r="A97">
        <v>95</v>
      </c>
      <c r="B97" t="s">
        <v>338</v>
      </c>
      <c r="C97" s="1" t="s">
        <v>339</v>
      </c>
      <c r="D97" t="s">
        <v>48</v>
      </c>
      <c r="E97" t="s">
        <v>340</v>
      </c>
      <c r="G97">
        <v>180</v>
      </c>
      <c r="H97">
        <v>100</v>
      </c>
      <c r="I97">
        <v>60</v>
      </c>
      <c r="J97">
        <v>20</v>
      </c>
    </row>
    <row r="98" spans="1:10" x14ac:dyDescent="0.3">
      <c r="A98">
        <v>97</v>
      </c>
      <c r="B98" t="s">
        <v>364</v>
      </c>
      <c r="C98" s="1" t="s">
        <v>365</v>
      </c>
      <c r="D98" t="s">
        <v>12</v>
      </c>
      <c r="E98" t="s">
        <v>366</v>
      </c>
      <c r="G98">
        <v>176</v>
      </c>
      <c r="H98">
        <v>100</v>
      </c>
      <c r="I98">
        <v>52</v>
      </c>
      <c r="J98">
        <v>24</v>
      </c>
    </row>
    <row r="99" spans="1:10" x14ac:dyDescent="0.3">
      <c r="A99">
        <v>97</v>
      </c>
      <c r="B99" t="s">
        <v>208</v>
      </c>
      <c r="C99" s="1" t="s">
        <v>209</v>
      </c>
      <c r="D99" t="s">
        <v>16</v>
      </c>
      <c r="E99" t="s">
        <v>210</v>
      </c>
      <c r="G99">
        <v>176</v>
      </c>
      <c r="H99">
        <v>100</v>
      </c>
      <c r="I99">
        <v>52</v>
      </c>
      <c r="J99">
        <v>24</v>
      </c>
    </row>
    <row r="100" spans="1:10" x14ac:dyDescent="0.3">
      <c r="A100">
        <v>99</v>
      </c>
      <c r="B100" t="s">
        <v>351</v>
      </c>
      <c r="C100" s="1" t="s">
        <v>352</v>
      </c>
      <c r="D100" t="s">
        <v>178</v>
      </c>
      <c r="E100" t="s">
        <v>353</v>
      </c>
      <c r="G100">
        <v>172</v>
      </c>
      <c r="H100">
        <v>100</v>
      </c>
      <c r="I100">
        <v>36</v>
      </c>
      <c r="J100">
        <v>36</v>
      </c>
    </row>
    <row r="101" spans="1:10" x14ac:dyDescent="0.3">
      <c r="A101">
        <v>99</v>
      </c>
      <c r="B101" t="s">
        <v>526</v>
      </c>
      <c r="C101" s="1" t="s">
        <v>527</v>
      </c>
      <c r="D101" t="s">
        <v>81</v>
      </c>
      <c r="E101" t="s">
        <v>528</v>
      </c>
      <c r="G101">
        <v>172</v>
      </c>
      <c r="H101">
        <v>100</v>
      </c>
      <c r="I101">
        <v>36</v>
      </c>
      <c r="J101">
        <v>36</v>
      </c>
    </row>
    <row r="102" spans="1:10" x14ac:dyDescent="0.3">
      <c r="A102">
        <v>99</v>
      </c>
      <c r="B102" t="s">
        <v>234</v>
      </c>
      <c r="C102" s="1" t="s">
        <v>235</v>
      </c>
      <c r="D102" t="s">
        <v>20</v>
      </c>
      <c r="E102" t="s">
        <v>236</v>
      </c>
      <c r="G102">
        <v>172</v>
      </c>
      <c r="H102">
        <v>100</v>
      </c>
      <c r="I102">
        <v>60</v>
      </c>
      <c r="J102">
        <v>12</v>
      </c>
    </row>
    <row r="103" spans="1:10" x14ac:dyDescent="0.3">
      <c r="A103">
        <v>102</v>
      </c>
      <c r="B103" t="s">
        <v>367</v>
      </c>
      <c r="C103" s="1" t="s">
        <v>368</v>
      </c>
      <c r="D103" t="s">
        <v>369</v>
      </c>
      <c r="E103" t="s">
        <v>370</v>
      </c>
      <c r="G103">
        <v>168</v>
      </c>
      <c r="H103">
        <v>100</v>
      </c>
      <c r="I103">
        <v>52</v>
      </c>
      <c r="J103">
        <v>16</v>
      </c>
    </row>
    <row r="104" spans="1:10" x14ac:dyDescent="0.3">
      <c r="A104">
        <v>102</v>
      </c>
      <c r="B104" t="s">
        <v>354</v>
      </c>
      <c r="C104" s="1" t="s">
        <v>355</v>
      </c>
      <c r="D104" t="s">
        <v>223</v>
      </c>
      <c r="E104" t="s">
        <v>356</v>
      </c>
      <c r="G104">
        <v>168</v>
      </c>
      <c r="H104">
        <v>100</v>
      </c>
      <c r="I104">
        <v>44</v>
      </c>
      <c r="J104">
        <v>24</v>
      </c>
    </row>
    <row r="105" spans="1:10" x14ac:dyDescent="0.3">
      <c r="A105">
        <v>104</v>
      </c>
      <c r="B105" t="s">
        <v>453</v>
      </c>
      <c r="C105" s="1" t="s">
        <v>454</v>
      </c>
      <c r="D105" t="s">
        <v>81</v>
      </c>
      <c r="E105" t="s">
        <v>455</v>
      </c>
      <c r="G105">
        <v>164</v>
      </c>
      <c r="H105">
        <v>100</v>
      </c>
      <c r="I105">
        <v>44</v>
      </c>
      <c r="J105">
        <v>20</v>
      </c>
    </row>
    <row r="106" spans="1:10" x14ac:dyDescent="0.3">
      <c r="A106">
        <v>105</v>
      </c>
      <c r="B106" t="s">
        <v>320</v>
      </c>
      <c r="C106" s="1" t="s">
        <v>321</v>
      </c>
      <c r="D106" t="s">
        <v>52</v>
      </c>
      <c r="E106" t="s">
        <v>322</v>
      </c>
      <c r="G106">
        <v>160</v>
      </c>
      <c r="H106">
        <v>100</v>
      </c>
      <c r="I106">
        <v>36</v>
      </c>
      <c r="J106">
        <v>24</v>
      </c>
    </row>
    <row r="107" spans="1:10" x14ac:dyDescent="0.3">
      <c r="A107">
        <v>105</v>
      </c>
      <c r="B107" t="s">
        <v>313</v>
      </c>
      <c r="C107" s="1" t="s">
        <v>314</v>
      </c>
      <c r="D107" t="s">
        <v>315</v>
      </c>
      <c r="E107" t="s">
        <v>316</v>
      </c>
      <c r="G107">
        <v>160</v>
      </c>
      <c r="H107">
        <v>100</v>
      </c>
      <c r="I107">
        <v>36</v>
      </c>
      <c r="J107">
        <v>24</v>
      </c>
    </row>
    <row r="108" spans="1:10" x14ac:dyDescent="0.3">
      <c r="A108">
        <v>105</v>
      </c>
      <c r="B108" t="s">
        <v>341</v>
      </c>
      <c r="C108" s="1" t="s">
        <v>342</v>
      </c>
      <c r="D108" t="s">
        <v>147</v>
      </c>
      <c r="E108" t="s">
        <v>343</v>
      </c>
      <c r="G108">
        <v>160</v>
      </c>
      <c r="H108">
        <v>100</v>
      </c>
      <c r="I108">
        <v>36</v>
      </c>
      <c r="J108">
        <v>24</v>
      </c>
    </row>
    <row r="109" spans="1:10" x14ac:dyDescent="0.3">
      <c r="A109">
        <v>105</v>
      </c>
      <c r="B109" t="s">
        <v>444</v>
      </c>
      <c r="C109" s="1" t="s">
        <v>445</v>
      </c>
      <c r="D109" t="s">
        <v>223</v>
      </c>
      <c r="E109" t="s">
        <v>446</v>
      </c>
      <c r="G109">
        <v>160</v>
      </c>
      <c r="H109">
        <v>100</v>
      </c>
      <c r="I109">
        <v>60</v>
      </c>
      <c r="J109">
        <v>0</v>
      </c>
    </row>
    <row r="110" spans="1:10" x14ac:dyDescent="0.3">
      <c r="A110">
        <v>105</v>
      </c>
      <c r="B110" t="s">
        <v>563</v>
      </c>
      <c r="C110" s="1" t="s">
        <v>564</v>
      </c>
      <c r="D110" t="s">
        <v>216</v>
      </c>
      <c r="E110" t="s">
        <v>565</v>
      </c>
      <c r="G110">
        <v>160</v>
      </c>
      <c r="H110">
        <v>100</v>
      </c>
      <c r="I110">
        <v>36</v>
      </c>
      <c r="J110">
        <v>24</v>
      </c>
    </row>
    <row r="111" spans="1:10" x14ac:dyDescent="0.3">
      <c r="A111">
        <v>105</v>
      </c>
      <c r="B111" t="s">
        <v>26</v>
      </c>
      <c r="C111" s="1" t="s">
        <v>27</v>
      </c>
      <c r="D111" t="s">
        <v>28</v>
      </c>
      <c r="E111" t="s">
        <v>29</v>
      </c>
      <c r="G111">
        <v>160</v>
      </c>
      <c r="H111">
        <v>100</v>
      </c>
      <c r="I111">
        <v>36</v>
      </c>
      <c r="J111">
        <v>24</v>
      </c>
    </row>
    <row r="112" spans="1:10" x14ac:dyDescent="0.3">
      <c r="A112">
        <v>105</v>
      </c>
      <c r="B112" t="s">
        <v>447</v>
      </c>
      <c r="C112" s="1" t="s">
        <v>448</v>
      </c>
      <c r="D112" t="s">
        <v>81</v>
      </c>
      <c r="E112" t="s">
        <v>449</v>
      </c>
      <c r="G112">
        <v>160</v>
      </c>
      <c r="H112">
        <v>100</v>
      </c>
      <c r="I112">
        <v>36</v>
      </c>
      <c r="J112">
        <v>24</v>
      </c>
    </row>
    <row r="113" spans="1:10" x14ac:dyDescent="0.3">
      <c r="A113">
        <v>105</v>
      </c>
      <c r="B113" t="s">
        <v>510</v>
      </c>
      <c r="C113" s="1" t="s">
        <v>511</v>
      </c>
      <c r="D113" t="s">
        <v>425</v>
      </c>
      <c r="E113" t="s">
        <v>512</v>
      </c>
      <c r="G113">
        <v>160</v>
      </c>
      <c r="H113">
        <v>60</v>
      </c>
      <c r="I113">
        <v>100</v>
      </c>
      <c r="J113">
        <v>0</v>
      </c>
    </row>
    <row r="114" spans="1:10" x14ac:dyDescent="0.3">
      <c r="A114">
        <v>105</v>
      </c>
      <c r="B114" t="s">
        <v>110</v>
      </c>
      <c r="C114" s="1" t="s">
        <v>111</v>
      </c>
      <c r="D114" t="s">
        <v>96</v>
      </c>
      <c r="E114" t="s">
        <v>112</v>
      </c>
      <c r="G114">
        <v>160</v>
      </c>
      <c r="H114">
        <v>100</v>
      </c>
      <c r="I114">
        <v>60</v>
      </c>
      <c r="J114">
        <v>0</v>
      </c>
    </row>
    <row r="115" spans="1:10" x14ac:dyDescent="0.3">
      <c r="A115">
        <v>105</v>
      </c>
      <c r="B115" t="s">
        <v>186</v>
      </c>
      <c r="C115" s="1" t="s">
        <v>187</v>
      </c>
      <c r="D115" t="s">
        <v>81</v>
      </c>
      <c r="E115" t="s">
        <v>188</v>
      </c>
      <c r="G115">
        <v>160</v>
      </c>
      <c r="H115">
        <v>100</v>
      </c>
      <c r="I115">
        <v>36</v>
      </c>
      <c r="J115">
        <v>24</v>
      </c>
    </row>
    <row r="116" spans="1:10" x14ac:dyDescent="0.3">
      <c r="A116">
        <v>105</v>
      </c>
      <c r="B116" t="s">
        <v>463</v>
      </c>
      <c r="C116" s="1" t="s">
        <v>464</v>
      </c>
      <c r="D116" t="s">
        <v>191</v>
      </c>
      <c r="E116" t="s">
        <v>465</v>
      </c>
      <c r="G116">
        <v>160</v>
      </c>
      <c r="H116">
        <v>100</v>
      </c>
      <c r="I116">
        <v>60</v>
      </c>
      <c r="J116">
        <v>0</v>
      </c>
    </row>
    <row r="117" spans="1:10" x14ac:dyDescent="0.3">
      <c r="A117">
        <v>116</v>
      </c>
      <c r="B117" t="s">
        <v>473</v>
      </c>
      <c r="C117" s="1" t="s">
        <v>474</v>
      </c>
      <c r="D117" t="s">
        <v>100</v>
      </c>
      <c r="E117" t="s">
        <v>475</v>
      </c>
      <c r="G117">
        <v>152</v>
      </c>
      <c r="H117">
        <v>100</v>
      </c>
      <c r="I117">
        <v>52</v>
      </c>
      <c r="J117">
        <v>0</v>
      </c>
    </row>
    <row r="118" spans="1:10" x14ac:dyDescent="0.3">
      <c r="A118">
        <v>116</v>
      </c>
      <c r="B118" t="s">
        <v>485</v>
      </c>
      <c r="C118" s="1" t="s">
        <v>486</v>
      </c>
      <c r="D118" t="s">
        <v>89</v>
      </c>
      <c r="E118" t="s">
        <v>487</v>
      </c>
      <c r="G118">
        <v>152</v>
      </c>
      <c r="H118">
        <v>100</v>
      </c>
      <c r="I118">
        <v>16</v>
      </c>
      <c r="J118">
        <v>36</v>
      </c>
    </row>
    <row r="119" spans="1:10" x14ac:dyDescent="0.3">
      <c r="A119">
        <v>116</v>
      </c>
      <c r="B119" t="s">
        <v>466</v>
      </c>
      <c r="C119" s="1" t="s">
        <v>467</v>
      </c>
      <c r="D119" t="s">
        <v>48</v>
      </c>
      <c r="E119" t="s">
        <v>468</v>
      </c>
      <c r="G119">
        <v>152</v>
      </c>
      <c r="H119">
        <v>100</v>
      </c>
      <c r="I119">
        <v>36</v>
      </c>
      <c r="J119">
        <v>16</v>
      </c>
    </row>
    <row r="120" spans="1:10" x14ac:dyDescent="0.3">
      <c r="A120">
        <v>116</v>
      </c>
      <c r="B120" t="s">
        <v>406</v>
      </c>
      <c r="C120" s="1" t="s">
        <v>407</v>
      </c>
      <c r="D120" t="s">
        <v>178</v>
      </c>
      <c r="E120" t="s">
        <v>408</v>
      </c>
      <c r="G120">
        <v>152</v>
      </c>
      <c r="H120">
        <v>100</v>
      </c>
      <c r="I120">
        <v>36</v>
      </c>
      <c r="J120">
        <v>16</v>
      </c>
    </row>
    <row r="121" spans="1:10" x14ac:dyDescent="0.3">
      <c r="A121">
        <v>116</v>
      </c>
      <c r="B121" t="s">
        <v>416</v>
      </c>
      <c r="C121" s="1" t="s">
        <v>417</v>
      </c>
      <c r="D121" t="s">
        <v>418</v>
      </c>
      <c r="E121" t="s">
        <v>419</v>
      </c>
      <c r="G121">
        <v>152</v>
      </c>
      <c r="H121">
        <v>100</v>
      </c>
      <c r="I121">
        <v>36</v>
      </c>
      <c r="J121">
        <v>16</v>
      </c>
    </row>
    <row r="122" spans="1:10" x14ac:dyDescent="0.3">
      <c r="A122">
        <v>116</v>
      </c>
      <c r="B122" t="s">
        <v>560</v>
      </c>
      <c r="C122" s="1" t="s">
        <v>561</v>
      </c>
      <c r="D122" t="s">
        <v>216</v>
      </c>
      <c r="E122" t="s">
        <v>562</v>
      </c>
      <c r="G122">
        <v>152</v>
      </c>
      <c r="H122">
        <v>100</v>
      </c>
      <c r="I122">
        <v>44</v>
      </c>
      <c r="J122">
        <v>8</v>
      </c>
    </row>
    <row r="123" spans="1:10" x14ac:dyDescent="0.3">
      <c r="A123">
        <v>116</v>
      </c>
      <c r="B123" t="s">
        <v>497</v>
      </c>
      <c r="C123" s="1" t="s">
        <v>498</v>
      </c>
      <c r="D123" t="s">
        <v>282</v>
      </c>
      <c r="E123" t="s">
        <v>499</v>
      </c>
      <c r="G123">
        <v>152</v>
      </c>
      <c r="H123">
        <v>100</v>
      </c>
      <c r="I123">
        <v>52</v>
      </c>
      <c r="J123">
        <v>0</v>
      </c>
    </row>
    <row r="124" spans="1:10" x14ac:dyDescent="0.3">
      <c r="A124">
        <v>123</v>
      </c>
      <c r="B124" t="s">
        <v>377</v>
      </c>
      <c r="C124" s="1" t="s">
        <v>378</v>
      </c>
      <c r="D124" t="s">
        <v>379</v>
      </c>
      <c r="E124" t="s">
        <v>380</v>
      </c>
      <c r="G124">
        <v>144</v>
      </c>
      <c r="H124">
        <v>100</v>
      </c>
      <c r="I124">
        <v>36</v>
      </c>
      <c r="J124">
        <v>8</v>
      </c>
    </row>
    <row r="125" spans="1:10" x14ac:dyDescent="0.3">
      <c r="A125">
        <v>123</v>
      </c>
      <c r="B125" t="s">
        <v>391</v>
      </c>
      <c r="C125" s="1" t="s">
        <v>392</v>
      </c>
      <c r="D125" t="s">
        <v>178</v>
      </c>
      <c r="E125" t="s">
        <v>393</v>
      </c>
      <c r="G125">
        <v>144</v>
      </c>
      <c r="H125">
        <v>100</v>
      </c>
      <c r="I125">
        <v>36</v>
      </c>
      <c r="J125">
        <v>8</v>
      </c>
    </row>
    <row r="126" spans="1:10" x14ac:dyDescent="0.3">
      <c r="A126">
        <v>123</v>
      </c>
      <c r="B126" t="s">
        <v>557</v>
      </c>
      <c r="C126" s="1" t="s">
        <v>558</v>
      </c>
      <c r="D126" t="s">
        <v>216</v>
      </c>
      <c r="E126" t="s">
        <v>559</v>
      </c>
      <c r="G126">
        <v>144</v>
      </c>
      <c r="H126">
        <v>100</v>
      </c>
      <c r="I126">
        <v>36</v>
      </c>
      <c r="J126">
        <v>8</v>
      </c>
    </row>
    <row r="127" spans="1:10" x14ac:dyDescent="0.3">
      <c r="A127">
        <v>126</v>
      </c>
      <c r="B127" t="s">
        <v>420</v>
      </c>
      <c r="C127" s="1" t="s">
        <v>421</v>
      </c>
      <c r="D127" t="s">
        <v>305</v>
      </c>
      <c r="E127" t="s">
        <v>422</v>
      </c>
      <c r="G127">
        <v>140</v>
      </c>
      <c r="H127">
        <v>100</v>
      </c>
      <c r="I127">
        <v>36</v>
      </c>
      <c r="J127">
        <v>4</v>
      </c>
    </row>
    <row r="128" spans="1:10" x14ac:dyDescent="0.3">
      <c r="A128">
        <v>126</v>
      </c>
      <c r="B128" t="s">
        <v>440</v>
      </c>
      <c r="C128" s="1" t="s">
        <v>441</v>
      </c>
      <c r="D128" t="s">
        <v>442</v>
      </c>
      <c r="E128" t="s">
        <v>443</v>
      </c>
      <c r="G128">
        <v>140</v>
      </c>
      <c r="H128">
        <v>100</v>
      </c>
      <c r="I128">
        <v>36</v>
      </c>
      <c r="J128">
        <v>4</v>
      </c>
    </row>
    <row r="129" spans="1:10" x14ac:dyDescent="0.3">
      <c r="A129">
        <v>126</v>
      </c>
      <c r="B129" t="s">
        <v>430</v>
      </c>
      <c r="C129" s="1" t="s">
        <v>431</v>
      </c>
      <c r="D129" t="s">
        <v>258</v>
      </c>
      <c r="E129" t="s">
        <v>432</v>
      </c>
      <c r="G129">
        <v>140</v>
      </c>
      <c r="H129">
        <v>100</v>
      </c>
      <c r="I129">
        <v>36</v>
      </c>
      <c r="J129">
        <v>4</v>
      </c>
    </row>
    <row r="130" spans="1:10" x14ac:dyDescent="0.3">
      <c r="A130">
        <v>126</v>
      </c>
      <c r="B130" t="s">
        <v>519</v>
      </c>
      <c r="C130" s="1" t="s">
        <v>520</v>
      </c>
      <c r="D130" t="s">
        <v>521</v>
      </c>
      <c r="E130" t="s">
        <v>522</v>
      </c>
      <c r="G130">
        <v>140</v>
      </c>
      <c r="H130">
        <v>100</v>
      </c>
      <c r="I130">
        <v>36</v>
      </c>
      <c r="J130">
        <v>4</v>
      </c>
    </row>
    <row r="131" spans="1:10" x14ac:dyDescent="0.3">
      <c r="A131">
        <v>126</v>
      </c>
      <c r="B131" t="s">
        <v>303</v>
      </c>
      <c r="C131" s="1" t="s">
        <v>304</v>
      </c>
      <c r="D131" t="s">
        <v>305</v>
      </c>
      <c r="E131" t="s">
        <v>306</v>
      </c>
      <c r="G131">
        <v>140</v>
      </c>
      <c r="H131">
        <v>100</v>
      </c>
      <c r="I131">
        <v>36</v>
      </c>
      <c r="J131">
        <v>4</v>
      </c>
    </row>
    <row r="132" spans="1:10" x14ac:dyDescent="0.3">
      <c r="A132">
        <v>131</v>
      </c>
      <c r="B132" t="s">
        <v>546</v>
      </c>
      <c r="C132" s="1" t="s">
        <v>547</v>
      </c>
      <c r="D132" t="s">
        <v>548</v>
      </c>
      <c r="E132" t="s">
        <v>549</v>
      </c>
      <c r="G132">
        <v>136</v>
      </c>
      <c r="H132">
        <v>100</v>
      </c>
      <c r="I132">
        <v>36</v>
      </c>
      <c r="J132">
        <v>0</v>
      </c>
    </row>
    <row r="133" spans="1:10" x14ac:dyDescent="0.3">
      <c r="A133">
        <v>131</v>
      </c>
      <c r="B133" t="s">
        <v>381</v>
      </c>
      <c r="C133" s="1" t="s">
        <v>382</v>
      </c>
      <c r="D133" t="s">
        <v>383</v>
      </c>
      <c r="E133" t="s">
        <v>384</v>
      </c>
      <c r="G133">
        <v>136</v>
      </c>
      <c r="H133">
        <v>100</v>
      </c>
      <c r="I133">
        <v>36</v>
      </c>
      <c r="J133">
        <v>0</v>
      </c>
    </row>
    <row r="134" spans="1:10" x14ac:dyDescent="0.3">
      <c r="A134">
        <v>131</v>
      </c>
      <c r="B134" t="s">
        <v>120</v>
      </c>
      <c r="C134" s="1" t="s">
        <v>121</v>
      </c>
      <c r="D134" t="s">
        <v>122</v>
      </c>
      <c r="E134" t="s">
        <v>123</v>
      </c>
      <c r="G134">
        <v>136</v>
      </c>
      <c r="H134">
        <v>100</v>
      </c>
      <c r="I134">
        <v>36</v>
      </c>
      <c r="J134">
        <v>0</v>
      </c>
    </row>
    <row r="135" spans="1:10" x14ac:dyDescent="0.3">
      <c r="A135">
        <v>131</v>
      </c>
      <c r="B135" t="s">
        <v>266</v>
      </c>
      <c r="C135" s="1" t="s">
        <v>267</v>
      </c>
      <c r="D135" t="s">
        <v>178</v>
      </c>
      <c r="E135" t="s">
        <v>268</v>
      </c>
      <c r="G135">
        <v>136</v>
      </c>
      <c r="H135">
        <v>100</v>
      </c>
      <c r="I135">
        <v>36</v>
      </c>
      <c r="J135">
        <v>0</v>
      </c>
    </row>
    <row r="136" spans="1:10" x14ac:dyDescent="0.3">
      <c r="A136">
        <v>131</v>
      </c>
      <c r="B136" t="s">
        <v>456</v>
      </c>
      <c r="C136" s="1" t="s">
        <v>457</v>
      </c>
      <c r="D136" t="s">
        <v>178</v>
      </c>
      <c r="E136" t="s">
        <v>458</v>
      </c>
      <c r="G136">
        <v>136</v>
      </c>
      <c r="H136">
        <v>100</v>
      </c>
      <c r="I136">
        <v>36</v>
      </c>
      <c r="J136">
        <v>0</v>
      </c>
    </row>
    <row r="137" spans="1:10" x14ac:dyDescent="0.3">
      <c r="A137">
        <v>131</v>
      </c>
      <c r="B137" t="s">
        <v>131</v>
      </c>
      <c r="C137" s="1" t="s">
        <v>132</v>
      </c>
      <c r="D137" t="s">
        <v>133</v>
      </c>
      <c r="E137" t="s">
        <v>134</v>
      </c>
      <c r="G137">
        <v>136</v>
      </c>
      <c r="H137">
        <v>100</v>
      </c>
      <c r="I137">
        <v>36</v>
      </c>
      <c r="J137">
        <v>0</v>
      </c>
    </row>
    <row r="138" spans="1:10" x14ac:dyDescent="0.3">
      <c r="A138">
        <v>137</v>
      </c>
      <c r="B138" t="s">
        <v>469</v>
      </c>
      <c r="C138" s="1" t="s">
        <v>470</v>
      </c>
      <c r="D138" t="s">
        <v>471</v>
      </c>
      <c r="E138" t="s">
        <v>472</v>
      </c>
      <c r="G138">
        <v>128</v>
      </c>
      <c r="H138">
        <v>20</v>
      </c>
      <c r="I138">
        <v>100</v>
      </c>
      <c r="J138">
        <v>8</v>
      </c>
    </row>
    <row r="139" spans="1:10" x14ac:dyDescent="0.3">
      <c r="A139">
        <v>138</v>
      </c>
      <c r="B139" t="s">
        <v>388</v>
      </c>
      <c r="C139" s="1" t="s">
        <v>389</v>
      </c>
      <c r="D139" t="s">
        <v>191</v>
      </c>
      <c r="E139" t="s">
        <v>390</v>
      </c>
      <c r="G139">
        <v>124</v>
      </c>
      <c r="H139">
        <v>100</v>
      </c>
      <c r="I139">
        <v>0</v>
      </c>
      <c r="J139">
        <v>24</v>
      </c>
    </row>
    <row r="140" spans="1:10" x14ac:dyDescent="0.3">
      <c r="A140">
        <v>138</v>
      </c>
      <c r="B140" t="s">
        <v>128</v>
      </c>
      <c r="C140" s="1" t="s">
        <v>129</v>
      </c>
      <c r="D140" t="s">
        <v>89</v>
      </c>
      <c r="E140" t="s">
        <v>130</v>
      </c>
      <c r="G140">
        <v>124</v>
      </c>
      <c r="H140">
        <v>100</v>
      </c>
      <c r="I140">
        <v>24</v>
      </c>
      <c r="J140">
        <v>0</v>
      </c>
    </row>
    <row r="141" spans="1:10" x14ac:dyDescent="0.3">
      <c r="A141">
        <v>138</v>
      </c>
      <c r="B141" t="s">
        <v>135</v>
      </c>
      <c r="C141" s="1" t="s">
        <v>136</v>
      </c>
      <c r="D141" t="s">
        <v>28</v>
      </c>
      <c r="E141" t="s">
        <v>137</v>
      </c>
      <c r="G141">
        <v>124</v>
      </c>
      <c r="H141">
        <v>100</v>
      </c>
      <c r="I141">
        <v>24</v>
      </c>
      <c r="J141">
        <v>0</v>
      </c>
    </row>
    <row r="142" spans="1:10" x14ac:dyDescent="0.3">
      <c r="A142">
        <v>138</v>
      </c>
      <c r="B142" t="s">
        <v>113</v>
      </c>
      <c r="C142" s="1" t="s">
        <v>114</v>
      </c>
      <c r="D142" t="s">
        <v>60</v>
      </c>
      <c r="E142" t="s">
        <v>115</v>
      </c>
      <c r="G142">
        <v>124</v>
      </c>
      <c r="H142">
        <v>100</v>
      </c>
      <c r="I142">
        <v>24</v>
      </c>
      <c r="J142">
        <v>0</v>
      </c>
    </row>
    <row r="143" spans="1:10" x14ac:dyDescent="0.3">
      <c r="A143">
        <v>142</v>
      </c>
      <c r="B143" t="s">
        <v>400</v>
      </c>
      <c r="C143" s="1" t="s">
        <v>401</v>
      </c>
      <c r="D143" t="s">
        <v>89</v>
      </c>
      <c r="E143" t="s">
        <v>402</v>
      </c>
      <c r="G143">
        <v>116</v>
      </c>
      <c r="H143">
        <v>100</v>
      </c>
      <c r="I143">
        <v>16</v>
      </c>
      <c r="J143">
        <v>0</v>
      </c>
    </row>
    <row r="144" spans="1:10" x14ac:dyDescent="0.3">
      <c r="A144">
        <v>143</v>
      </c>
      <c r="B144" t="s">
        <v>83</v>
      </c>
      <c r="C144" s="1" t="s">
        <v>84</v>
      </c>
      <c r="D144" t="s">
        <v>85</v>
      </c>
      <c r="E144" t="s">
        <v>86</v>
      </c>
      <c r="G144">
        <v>108</v>
      </c>
      <c r="H144">
        <v>100</v>
      </c>
      <c r="I144">
        <v>8</v>
      </c>
      <c r="J144">
        <v>0</v>
      </c>
    </row>
    <row r="145" spans="1:10" x14ac:dyDescent="0.3">
      <c r="A145">
        <v>143</v>
      </c>
      <c r="B145" t="s">
        <v>371</v>
      </c>
      <c r="C145" s="1" t="s">
        <v>372</v>
      </c>
      <c r="D145" t="s">
        <v>178</v>
      </c>
      <c r="E145" t="s">
        <v>373</v>
      </c>
      <c r="G145">
        <v>108</v>
      </c>
      <c r="H145">
        <v>100</v>
      </c>
      <c r="I145">
        <v>8</v>
      </c>
      <c r="J145">
        <v>0</v>
      </c>
    </row>
    <row r="146" spans="1:10" x14ac:dyDescent="0.3">
      <c r="A146">
        <v>145</v>
      </c>
      <c r="B146" t="s">
        <v>412</v>
      </c>
      <c r="C146" s="1" t="s">
        <v>413</v>
      </c>
      <c r="D146" t="s">
        <v>414</v>
      </c>
      <c r="E146" t="s">
        <v>415</v>
      </c>
      <c r="G146">
        <v>104</v>
      </c>
      <c r="H146">
        <v>100</v>
      </c>
      <c r="I146">
        <v>0</v>
      </c>
      <c r="J146">
        <v>4</v>
      </c>
    </row>
    <row r="147" spans="1:10" x14ac:dyDescent="0.3">
      <c r="A147">
        <v>145</v>
      </c>
      <c r="B147" t="s">
        <v>403</v>
      </c>
      <c r="C147" s="1" t="s">
        <v>404</v>
      </c>
      <c r="D147" t="s">
        <v>28</v>
      </c>
      <c r="E147" t="s">
        <v>405</v>
      </c>
      <c r="G147">
        <v>104</v>
      </c>
      <c r="H147">
        <v>60</v>
      </c>
      <c r="I147">
        <v>36</v>
      </c>
      <c r="J147">
        <v>8</v>
      </c>
    </row>
    <row r="148" spans="1:10" x14ac:dyDescent="0.3">
      <c r="A148">
        <v>147</v>
      </c>
      <c r="B148" t="s">
        <v>523</v>
      </c>
      <c r="C148" s="1" t="s">
        <v>524</v>
      </c>
      <c r="D148" t="s">
        <v>89</v>
      </c>
      <c r="E148" t="s">
        <v>525</v>
      </c>
      <c r="G148">
        <v>100</v>
      </c>
      <c r="H148">
        <v>100</v>
      </c>
      <c r="I148">
        <v>0</v>
      </c>
      <c r="J148">
        <v>0</v>
      </c>
    </row>
    <row r="149" spans="1:10" x14ac:dyDescent="0.3">
      <c r="A149">
        <v>147</v>
      </c>
      <c r="B149" t="s">
        <v>516</v>
      </c>
      <c r="C149" s="1" t="s">
        <v>517</v>
      </c>
      <c r="D149" t="s">
        <v>442</v>
      </c>
      <c r="E149" t="s">
        <v>518</v>
      </c>
      <c r="G149">
        <v>100</v>
      </c>
      <c r="H149">
        <v>100</v>
      </c>
      <c r="I149">
        <v>0</v>
      </c>
      <c r="J149">
        <v>0</v>
      </c>
    </row>
    <row r="150" spans="1:10" x14ac:dyDescent="0.3">
      <c r="A150">
        <v>147</v>
      </c>
      <c r="B150" t="s">
        <v>550</v>
      </c>
      <c r="C150" s="1" t="s">
        <v>551</v>
      </c>
      <c r="D150" t="s">
        <v>223</v>
      </c>
      <c r="E150" t="s">
        <v>552</v>
      </c>
      <c r="G150">
        <v>100</v>
      </c>
      <c r="H150">
        <v>100</v>
      </c>
      <c r="I150">
        <v>0</v>
      </c>
      <c r="J150">
        <v>0</v>
      </c>
    </row>
    <row r="151" spans="1:10" x14ac:dyDescent="0.3">
      <c r="A151">
        <v>147</v>
      </c>
      <c r="B151" t="s">
        <v>488</v>
      </c>
      <c r="C151" s="1" t="s">
        <v>489</v>
      </c>
      <c r="D151" t="s">
        <v>362</v>
      </c>
      <c r="E151" t="s">
        <v>490</v>
      </c>
      <c r="G151">
        <v>100</v>
      </c>
      <c r="H151">
        <v>100</v>
      </c>
      <c r="I151">
        <v>0</v>
      </c>
      <c r="J151">
        <v>0</v>
      </c>
    </row>
    <row r="152" spans="1:10" x14ac:dyDescent="0.3">
      <c r="A152">
        <v>147</v>
      </c>
      <c r="B152" t="s">
        <v>231</v>
      </c>
      <c r="C152" s="1" t="s">
        <v>232</v>
      </c>
      <c r="D152" t="s">
        <v>20</v>
      </c>
      <c r="E152" t="s">
        <v>233</v>
      </c>
      <c r="G152">
        <v>100</v>
      </c>
      <c r="H152">
        <v>100</v>
      </c>
      <c r="I152">
        <v>0</v>
      </c>
      <c r="J152">
        <v>0</v>
      </c>
    </row>
    <row r="153" spans="1:10" x14ac:dyDescent="0.3">
      <c r="A153">
        <v>152</v>
      </c>
      <c r="B153" t="s">
        <v>323</v>
      </c>
      <c r="C153" s="1" t="s">
        <v>324</v>
      </c>
      <c r="D153" t="s">
        <v>178</v>
      </c>
      <c r="E153" t="s">
        <v>325</v>
      </c>
      <c r="G153">
        <v>96</v>
      </c>
      <c r="H153">
        <v>60</v>
      </c>
      <c r="I153">
        <v>36</v>
      </c>
      <c r="J153">
        <v>0</v>
      </c>
    </row>
    <row r="154" spans="1:10" x14ac:dyDescent="0.3">
      <c r="A154">
        <v>153</v>
      </c>
      <c r="B154" t="s">
        <v>500</v>
      </c>
      <c r="C154" s="1" t="s">
        <v>501</v>
      </c>
      <c r="D154" t="s">
        <v>502</v>
      </c>
      <c r="E154" t="s">
        <v>503</v>
      </c>
      <c r="G154">
        <v>80</v>
      </c>
      <c r="H154">
        <v>20</v>
      </c>
      <c r="I154">
        <v>60</v>
      </c>
      <c r="J154">
        <v>0</v>
      </c>
    </row>
    <row r="155" spans="1:10" x14ac:dyDescent="0.3">
      <c r="A155">
        <v>154</v>
      </c>
      <c r="B155" t="s">
        <v>504</v>
      </c>
      <c r="C155" s="1" t="s">
        <v>505</v>
      </c>
      <c r="D155" t="s">
        <v>178</v>
      </c>
      <c r="E155" t="s">
        <v>506</v>
      </c>
      <c r="G155">
        <v>64</v>
      </c>
      <c r="H155">
        <v>20</v>
      </c>
      <c r="I155">
        <v>36</v>
      </c>
      <c r="J155">
        <v>8</v>
      </c>
    </row>
    <row r="156" spans="1:10" x14ac:dyDescent="0.3">
      <c r="A156">
        <v>155</v>
      </c>
      <c r="B156" t="s">
        <v>494</v>
      </c>
      <c r="C156" s="1" t="s">
        <v>495</v>
      </c>
      <c r="D156" t="s">
        <v>178</v>
      </c>
      <c r="E156" t="s">
        <v>496</v>
      </c>
      <c r="G156">
        <v>52</v>
      </c>
      <c r="H156">
        <v>0</v>
      </c>
      <c r="I156">
        <v>36</v>
      </c>
      <c r="J156">
        <v>16</v>
      </c>
    </row>
    <row r="157" spans="1:10" x14ac:dyDescent="0.3">
      <c r="A157">
        <v>156</v>
      </c>
      <c r="B157" t="s">
        <v>287</v>
      </c>
      <c r="C157" s="1" t="s">
        <v>288</v>
      </c>
      <c r="D157" t="s">
        <v>178</v>
      </c>
      <c r="E157" t="s">
        <v>289</v>
      </c>
      <c r="G157">
        <v>24</v>
      </c>
      <c r="H157">
        <v>20</v>
      </c>
      <c r="I157">
        <v>0</v>
      </c>
      <c r="J157">
        <v>4</v>
      </c>
    </row>
    <row r="158" spans="1:10" x14ac:dyDescent="0.3">
      <c r="A158">
        <v>157</v>
      </c>
      <c r="B158" t="s">
        <v>450</v>
      </c>
      <c r="C158" s="1" t="s">
        <v>451</v>
      </c>
      <c r="D158" t="s">
        <v>305</v>
      </c>
      <c r="E158" t="s">
        <v>452</v>
      </c>
      <c r="G158">
        <v>20</v>
      </c>
      <c r="H158">
        <v>20</v>
      </c>
      <c r="I158">
        <v>0</v>
      </c>
      <c r="J158">
        <v>0</v>
      </c>
    </row>
    <row r="159" spans="1:10" x14ac:dyDescent="0.3">
      <c r="A159">
        <v>157</v>
      </c>
      <c r="B159" t="s">
        <v>575</v>
      </c>
      <c r="C159" s="1" t="s">
        <v>576</v>
      </c>
      <c r="D159" t="s">
        <v>577</v>
      </c>
      <c r="E159" t="s">
        <v>578</v>
      </c>
      <c r="G159">
        <v>20</v>
      </c>
      <c r="H159">
        <v>20</v>
      </c>
      <c r="I159">
        <v>0</v>
      </c>
      <c r="J159">
        <v>0</v>
      </c>
    </row>
    <row r="160" spans="1:10" x14ac:dyDescent="0.3">
      <c r="A160">
        <v>159</v>
      </c>
      <c r="B160" t="s">
        <v>409</v>
      </c>
      <c r="C160" s="1" t="s">
        <v>410</v>
      </c>
      <c r="D160" t="s">
        <v>16</v>
      </c>
      <c r="E160" t="s">
        <v>411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>
        <v>159</v>
      </c>
      <c r="B161" t="s">
        <v>94</v>
      </c>
      <c r="C161" s="1" t="s">
        <v>95</v>
      </c>
      <c r="D161" t="s">
        <v>96</v>
      </c>
      <c r="E161" t="s">
        <v>97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>
        <v>159</v>
      </c>
      <c r="B162" t="s">
        <v>30</v>
      </c>
      <c r="C162" s="1" t="s">
        <v>31</v>
      </c>
      <c r="D162" t="s">
        <v>20</v>
      </c>
      <c r="E162" t="s">
        <v>32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>
        <v>159</v>
      </c>
      <c r="B163" t="s">
        <v>585</v>
      </c>
      <c r="C163" s="1" t="s">
        <v>586</v>
      </c>
      <c r="D163" t="s">
        <v>81</v>
      </c>
      <c r="E163" t="s">
        <v>587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159</v>
      </c>
      <c r="B164" t="s">
        <v>138</v>
      </c>
      <c r="C164" s="1" t="s">
        <v>139</v>
      </c>
      <c r="D164" t="s">
        <v>20</v>
      </c>
      <c r="E164" t="s">
        <v>140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>
        <v>159</v>
      </c>
      <c r="B165" t="s">
        <v>591</v>
      </c>
      <c r="C165" s="1" t="s">
        <v>592</v>
      </c>
      <c r="E165" t="s">
        <v>591</v>
      </c>
      <c r="G165">
        <v>0</v>
      </c>
      <c r="H165">
        <v>0</v>
      </c>
      <c r="I165">
        <v>0</v>
      </c>
      <c r="J165">
        <v>0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  <hyperlink ref="C36" r:id="rId35" xr:uid="{00000000-0004-0000-0500-000022000000}"/>
    <hyperlink ref="C37" r:id="rId36" xr:uid="{00000000-0004-0000-0500-000023000000}"/>
    <hyperlink ref="C38" r:id="rId37" xr:uid="{00000000-0004-0000-0500-000024000000}"/>
    <hyperlink ref="C39" r:id="rId38" xr:uid="{00000000-0004-0000-0500-000025000000}"/>
    <hyperlink ref="C40" r:id="rId39" xr:uid="{00000000-0004-0000-0500-000026000000}"/>
    <hyperlink ref="C41" r:id="rId40" xr:uid="{00000000-0004-0000-0500-000027000000}"/>
    <hyperlink ref="C42" r:id="rId41" xr:uid="{00000000-0004-0000-0500-000028000000}"/>
    <hyperlink ref="C43" r:id="rId42" xr:uid="{00000000-0004-0000-0500-000029000000}"/>
    <hyperlink ref="C44" r:id="rId43" xr:uid="{00000000-0004-0000-0500-00002A000000}"/>
    <hyperlink ref="C45" r:id="rId44" xr:uid="{00000000-0004-0000-0500-00002B000000}"/>
    <hyperlink ref="C46" r:id="rId45" xr:uid="{00000000-0004-0000-0500-00002C000000}"/>
    <hyperlink ref="C47" r:id="rId46" xr:uid="{00000000-0004-0000-0500-00002D000000}"/>
    <hyperlink ref="C48" r:id="rId47" xr:uid="{00000000-0004-0000-0500-00002E000000}"/>
    <hyperlink ref="C49" r:id="rId48" xr:uid="{00000000-0004-0000-0500-00002F000000}"/>
    <hyperlink ref="C50" r:id="rId49" xr:uid="{00000000-0004-0000-0500-000030000000}"/>
    <hyperlink ref="C51" r:id="rId50" xr:uid="{00000000-0004-0000-0500-000031000000}"/>
    <hyperlink ref="C52" r:id="rId51" xr:uid="{00000000-0004-0000-0500-000032000000}"/>
    <hyperlink ref="C53" r:id="rId52" xr:uid="{00000000-0004-0000-0500-000033000000}"/>
    <hyperlink ref="C54" r:id="rId53" xr:uid="{00000000-0004-0000-0500-000034000000}"/>
    <hyperlink ref="C55" r:id="rId54" xr:uid="{00000000-0004-0000-0500-000035000000}"/>
    <hyperlink ref="C56" r:id="rId55" xr:uid="{00000000-0004-0000-0500-000036000000}"/>
    <hyperlink ref="C57" r:id="rId56" xr:uid="{00000000-0004-0000-0500-000037000000}"/>
    <hyperlink ref="C58" r:id="rId57" xr:uid="{00000000-0004-0000-0500-000038000000}"/>
    <hyperlink ref="C59" r:id="rId58" xr:uid="{00000000-0004-0000-0500-000039000000}"/>
    <hyperlink ref="C60" r:id="rId59" xr:uid="{00000000-0004-0000-0500-00003A000000}"/>
    <hyperlink ref="C61" r:id="rId60" xr:uid="{00000000-0004-0000-0500-00003B000000}"/>
    <hyperlink ref="C62" r:id="rId61" xr:uid="{00000000-0004-0000-0500-00003C000000}"/>
    <hyperlink ref="C63" r:id="rId62" xr:uid="{00000000-0004-0000-0500-00003D000000}"/>
    <hyperlink ref="C64" r:id="rId63" xr:uid="{00000000-0004-0000-0500-00003E000000}"/>
    <hyperlink ref="C65" r:id="rId64" xr:uid="{00000000-0004-0000-0500-00003F000000}"/>
    <hyperlink ref="C66" r:id="rId65" xr:uid="{00000000-0004-0000-0500-000040000000}"/>
    <hyperlink ref="C67" r:id="rId66" xr:uid="{00000000-0004-0000-0500-000041000000}"/>
    <hyperlink ref="C68" r:id="rId67" xr:uid="{00000000-0004-0000-0500-000042000000}"/>
    <hyperlink ref="C69" r:id="rId68" xr:uid="{00000000-0004-0000-0500-000043000000}"/>
    <hyperlink ref="C70" r:id="rId69" xr:uid="{00000000-0004-0000-0500-000044000000}"/>
    <hyperlink ref="C71" r:id="rId70" xr:uid="{00000000-0004-0000-0500-000045000000}"/>
    <hyperlink ref="C72" r:id="rId71" xr:uid="{00000000-0004-0000-0500-000046000000}"/>
    <hyperlink ref="C73" r:id="rId72" xr:uid="{00000000-0004-0000-0500-000047000000}"/>
    <hyperlink ref="C74" r:id="rId73" xr:uid="{00000000-0004-0000-0500-000048000000}"/>
    <hyperlink ref="C75" r:id="rId74" xr:uid="{00000000-0004-0000-0500-000049000000}"/>
    <hyperlink ref="C76" r:id="rId75" xr:uid="{00000000-0004-0000-0500-00004A000000}"/>
    <hyperlink ref="C77" r:id="rId76" xr:uid="{00000000-0004-0000-0500-00004B000000}"/>
    <hyperlink ref="C78" r:id="rId77" xr:uid="{00000000-0004-0000-0500-00004C000000}"/>
    <hyperlink ref="C79" r:id="rId78" xr:uid="{00000000-0004-0000-0500-00004D000000}"/>
    <hyperlink ref="C80" r:id="rId79" xr:uid="{00000000-0004-0000-0500-00004E000000}"/>
    <hyperlink ref="C81" r:id="rId80" xr:uid="{00000000-0004-0000-0500-00004F000000}"/>
    <hyperlink ref="C82" r:id="rId81" xr:uid="{00000000-0004-0000-0500-000050000000}"/>
    <hyperlink ref="C83" r:id="rId82" xr:uid="{00000000-0004-0000-0500-000051000000}"/>
    <hyperlink ref="C84" r:id="rId83" xr:uid="{00000000-0004-0000-0500-000052000000}"/>
    <hyperlink ref="C85" r:id="rId84" xr:uid="{00000000-0004-0000-0500-000053000000}"/>
    <hyperlink ref="C86" r:id="rId85" xr:uid="{00000000-0004-0000-0500-000054000000}"/>
    <hyperlink ref="C87" r:id="rId86" xr:uid="{00000000-0004-0000-0500-000055000000}"/>
    <hyperlink ref="C88" r:id="rId87" xr:uid="{00000000-0004-0000-0500-000056000000}"/>
    <hyperlink ref="C89" r:id="rId88" xr:uid="{00000000-0004-0000-0500-000057000000}"/>
    <hyperlink ref="C90" r:id="rId89" xr:uid="{00000000-0004-0000-0500-000058000000}"/>
    <hyperlink ref="C91" r:id="rId90" xr:uid="{00000000-0004-0000-0500-000059000000}"/>
    <hyperlink ref="C92" r:id="rId91" xr:uid="{00000000-0004-0000-0500-00005A000000}"/>
    <hyperlink ref="C93" r:id="rId92" xr:uid="{00000000-0004-0000-0500-00005B000000}"/>
    <hyperlink ref="C94" r:id="rId93" xr:uid="{00000000-0004-0000-0500-00005C000000}"/>
    <hyperlink ref="C95" r:id="rId94" xr:uid="{00000000-0004-0000-0500-00005D000000}"/>
    <hyperlink ref="C96" r:id="rId95" xr:uid="{00000000-0004-0000-0500-00005E000000}"/>
    <hyperlink ref="C97" r:id="rId96" xr:uid="{00000000-0004-0000-0500-00005F000000}"/>
    <hyperlink ref="C98" r:id="rId97" xr:uid="{00000000-0004-0000-0500-000060000000}"/>
    <hyperlink ref="C99" r:id="rId98" xr:uid="{00000000-0004-0000-0500-000061000000}"/>
    <hyperlink ref="C100" r:id="rId99" xr:uid="{00000000-0004-0000-0500-000062000000}"/>
    <hyperlink ref="C101" r:id="rId100" xr:uid="{00000000-0004-0000-0500-000063000000}"/>
    <hyperlink ref="C102" r:id="rId101" xr:uid="{00000000-0004-0000-0500-000064000000}"/>
    <hyperlink ref="C103" r:id="rId102" xr:uid="{00000000-0004-0000-0500-000065000000}"/>
    <hyperlink ref="C104" r:id="rId103" xr:uid="{00000000-0004-0000-0500-000066000000}"/>
    <hyperlink ref="C105" r:id="rId104" xr:uid="{00000000-0004-0000-0500-000067000000}"/>
    <hyperlink ref="C106" r:id="rId105" xr:uid="{00000000-0004-0000-0500-000068000000}"/>
    <hyperlink ref="C107" r:id="rId106" xr:uid="{00000000-0004-0000-0500-000069000000}"/>
    <hyperlink ref="C108" r:id="rId107" xr:uid="{00000000-0004-0000-0500-00006A000000}"/>
    <hyperlink ref="C109" r:id="rId108" xr:uid="{00000000-0004-0000-0500-00006B000000}"/>
    <hyperlink ref="C110" r:id="rId109" xr:uid="{00000000-0004-0000-0500-00006C000000}"/>
    <hyperlink ref="C111" r:id="rId110" xr:uid="{00000000-0004-0000-0500-00006D000000}"/>
    <hyperlink ref="C112" r:id="rId111" xr:uid="{00000000-0004-0000-0500-00006E000000}"/>
    <hyperlink ref="C113" r:id="rId112" xr:uid="{00000000-0004-0000-0500-00006F000000}"/>
    <hyperlink ref="C114" r:id="rId113" xr:uid="{00000000-0004-0000-0500-000070000000}"/>
    <hyperlink ref="C115" r:id="rId114" xr:uid="{00000000-0004-0000-0500-000071000000}"/>
    <hyperlink ref="C116" r:id="rId115" xr:uid="{00000000-0004-0000-0500-000072000000}"/>
    <hyperlink ref="C117" r:id="rId116" xr:uid="{00000000-0004-0000-0500-000073000000}"/>
    <hyperlink ref="C118" r:id="rId117" xr:uid="{00000000-0004-0000-0500-000074000000}"/>
    <hyperlink ref="C119" r:id="rId118" xr:uid="{00000000-0004-0000-0500-000075000000}"/>
    <hyperlink ref="C120" r:id="rId119" xr:uid="{00000000-0004-0000-0500-000076000000}"/>
    <hyperlink ref="C121" r:id="rId120" xr:uid="{00000000-0004-0000-0500-000077000000}"/>
    <hyperlink ref="C122" r:id="rId121" xr:uid="{00000000-0004-0000-0500-000078000000}"/>
    <hyperlink ref="C123" r:id="rId122" xr:uid="{00000000-0004-0000-0500-000079000000}"/>
    <hyperlink ref="C124" r:id="rId123" xr:uid="{00000000-0004-0000-0500-00007A000000}"/>
    <hyperlink ref="C125" r:id="rId124" xr:uid="{00000000-0004-0000-0500-00007B000000}"/>
    <hyperlink ref="C126" r:id="rId125" xr:uid="{00000000-0004-0000-0500-00007C000000}"/>
    <hyperlink ref="C127" r:id="rId126" xr:uid="{00000000-0004-0000-0500-00007D000000}"/>
    <hyperlink ref="C128" r:id="rId127" xr:uid="{00000000-0004-0000-0500-00007E000000}"/>
    <hyperlink ref="C129" r:id="rId128" xr:uid="{00000000-0004-0000-0500-00007F000000}"/>
    <hyperlink ref="C130" r:id="rId129" xr:uid="{00000000-0004-0000-0500-000080000000}"/>
    <hyperlink ref="C131" r:id="rId130" xr:uid="{00000000-0004-0000-0500-000081000000}"/>
    <hyperlink ref="C132" r:id="rId131" xr:uid="{00000000-0004-0000-0500-000082000000}"/>
    <hyperlink ref="C133" r:id="rId132" xr:uid="{00000000-0004-0000-0500-000083000000}"/>
    <hyperlink ref="C134" r:id="rId133" xr:uid="{00000000-0004-0000-0500-000084000000}"/>
    <hyperlink ref="C135" r:id="rId134" xr:uid="{00000000-0004-0000-0500-000085000000}"/>
    <hyperlink ref="C136" r:id="rId135" xr:uid="{00000000-0004-0000-0500-000086000000}"/>
    <hyperlink ref="C137" r:id="rId136" xr:uid="{00000000-0004-0000-0500-000087000000}"/>
    <hyperlink ref="C138" r:id="rId137" xr:uid="{00000000-0004-0000-0500-000088000000}"/>
    <hyperlink ref="C139" r:id="rId138" xr:uid="{00000000-0004-0000-0500-000089000000}"/>
    <hyperlink ref="C140" r:id="rId139" xr:uid="{00000000-0004-0000-0500-00008A000000}"/>
    <hyperlink ref="C141" r:id="rId140" xr:uid="{00000000-0004-0000-0500-00008B000000}"/>
    <hyperlink ref="C142" r:id="rId141" xr:uid="{00000000-0004-0000-0500-00008C000000}"/>
    <hyperlink ref="C143" r:id="rId142" xr:uid="{00000000-0004-0000-0500-00008D000000}"/>
    <hyperlink ref="C144" r:id="rId143" xr:uid="{00000000-0004-0000-0500-00008E000000}"/>
    <hyperlink ref="C145" r:id="rId144" xr:uid="{00000000-0004-0000-0500-00008F000000}"/>
    <hyperlink ref="C146" r:id="rId145" xr:uid="{00000000-0004-0000-0500-000090000000}"/>
    <hyperlink ref="C147" r:id="rId146" xr:uid="{00000000-0004-0000-0500-000091000000}"/>
    <hyperlink ref="C148" r:id="rId147" xr:uid="{00000000-0004-0000-0500-000092000000}"/>
    <hyperlink ref="C149" r:id="rId148" xr:uid="{00000000-0004-0000-0500-000093000000}"/>
    <hyperlink ref="C150" r:id="rId149" xr:uid="{00000000-0004-0000-0500-000094000000}"/>
    <hyperlink ref="C151" r:id="rId150" xr:uid="{00000000-0004-0000-0500-000095000000}"/>
    <hyperlink ref="C152" r:id="rId151" xr:uid="{00000000-0004-0000-0500-000096000000}"/>
    <hyperlink ref="C153" r:id="rId152" xr:uid="{00000000-0004-0000-0500-000097000000}"/>
    <hyperlink ref="C154" r:id="rId153" xr:uid="{00000000-0004-0000-0500-000098000000}"/>
    <hyperlink ref="C155" r:id="rId154" xr:uid="{00000000-0004-0000-0500-000099000000}"/>
    <hyperlink ref="C156" r:id="rId155" xr:uid="{00000000-0004-0000-0500-00009A000000}"/>
    <hyperlink ref="C157" r:id="rId156" xr:uid="{00000000-0004-0000-0500-00009B000000}"/>
    <hyperlink ref="C158" r:id="rId157" xr:uid="{00000000-0004-0000-0500-00009C000000}"/>
    <hyperlink ref="C159" r:id="rId158" xr:uid="{00000000-0004-0000-0500-00009D000000}"/>
    <hyperlink ref="C160" r:id="rId159" xr:uid="{00000000-0004-0000-0500-00009E000000}"/>
    <hyperlink ref="C161" r:id="rId160" xr:uid="{00000000-0004-0000-0500-00009F000000}"/>
    <hyperlink ref="C162" r:id="rId161" xr:uid="{00000000-0004-0000-0500-0000A0000000}"/>
    <hyperlink ref="C163" r:id="rId162" xr:uid="{00000000-0004-0000-0500-0000A1000000}"/>
    <hyperlink ref="C164" r:id="rId163" xr:uid="{00000000-0004-0000-0500-0000A2000000}"/>
    <hyperlink ref="C165" r:id="rId164" xr:uid="{00000000-0004-0000-0500-0000A3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593</v>
      </c>
      <c r="I1" t="s">
        <v>594</v>
      </c>
      <c r="J1" t="s">
        <v>595</v>
      </c>
    </row>
    <row r="2" spans="1:10" x14ac:dyDescent="0.3">
      <c r="A2">
        <v>1</v>
      </c>
      <c r="B2" t="s">
        <v>141</v>
      </c>
      <c r="C2" s="1" t="s">
        <v>142</v>
      </c>
      <c r="D2" t="s">
        <v>143</v>
      </c>
      <c r="E2" t="s">
        <v>144</v>
      </c>
      <c r="G2">
        <v>300</v>
      </c>
      <c r="H2">
        <v>100</v>
      </c>
      <c r="I2">
        <v>100</v>
      </c>
      <c r="J2">
        <v>100</v>
      </c>
    </row>
    <row r="3" spans="1:10" x14ac:dyDescent="0.3">
      <c r="A3">
        <v>1</v>
      </c>
      <c r="B3" t="s">
        <v>106</v>
      </c>
      <c r="C3" s="1" t="s">
        <v>107</v>
      </c>
      <c r="D3" t="s">
        <v>108</v>
      </c>
      <c r="E3" t="s">
        <v>109</v>
      </c>
      <c r="G3">
        <v>300</v>
      </c>
      <c r="H3">
        <v>100</v>
      </c>
      <c r="I3">
        <v>100</v>
      </c>
      <c r="J3">
        <v>100</v>
      </c>
    </row>
    <row r="4" spans="1:10" x14ac:dyDescent="0.3">
      <c r="A4">
        <v>3</v>
      </c>
      <c r="B4" t="s">
        <v>14</v>
      </c>
      <c r="C4" s="1" t="s">
        <v>15</v>
      </c>
      <c r="D4" t="s">
        <v>16</v>
      </c>
      <c r="E4" t="s">
        <v>17</v>
      </c>
      <c r="G4">
        <v>286</v>
      </c>
      <c r="H4">
        <v>100</v>
      </c>
      <c r="I4">
        <v>100</v>
      </c>
      <c r="J4">
        <v>86</v>
      </c>
    </row>
    <row r="5" spans="1:10" x14ac:dyDescent="0.3">
      <c r="A5">
        <v>4</v>
      </c>
      <c r="B5" t="s">
        <v>76</v>
      </c>
      <c r="C5" s="1" t="s">
        <v>77</v>
      </c>
      <c r="D5" t="s">
        <v>64</v>
      </c>
      <c r="E5" t="s">
        <v>78</v>
      </c>
      <c r="G5">
        <v>285</v>
      </c>
      <c r="H5">
        <v>100</v>
      </c>
      <c r="I5">
        <v>100</v>
      </c>
      <c r="J5">
        <v>85</v>
      </c>
    </row>
    <row r="6" spans="1:10" x14ac:dyDescent="0.3">
      <c r="A6">
        <v>5</v>
      </c>
      <c r="B6" t="s">
        <v>33</v>
      </c>
      <c r="C6" s="1" t="s">
        <v>34</v>
      </c>
      <c r="D6" t="s">
        <v>16</v>
      </c>
      <c r="E6" t="s">
        <v>35</v>
      </c>
      <c r="G6">
        <v>282</v>
      </c>
      <c r="H6">
        <v>100</v>
      </c>
      <c r="I6">
        <v>90</v>
      </c>
      <c r="J6">
        <v>92</v>
      </c>
    </row>
    <row r="7" spans="1:10" x14ac:dyDescent="0.3">
      <c r="A7">
        <v>6</v>
      </c>
      <c r="B7" t="s">
        <v>58</v>
      </c>
      <c r="C7" s="1" t="s">
        <v>59</v>
      </c>
      <c r="D7" t="s">
        <v>60</v>
      </c>
      <c r="E7" t="s">
        <v>61</v>
      </c>
      <c r="G7">
        <v>280</v>
      </c>
      <c r="H7">
        <v>100</v>
      </c>
      <c r="I7">
        <v>100</v>
      </c>
      <c r="J7">
        <v>80</v>
      </c>
    </row>
    <row r="8" spans="1:10" x14ac:dyDescent="0.3">
      <c r="A8">
        <v>7</v>
      </c>
      <c r="B8" t="s">
        <v>160</v>
      </c>
      <c r="C8" s="1" t="s">
        <v>161</v>
      </c>
      <c r="D8" t="s">
        <v>60</v>
      </c>
      <c r="E8" t="s">
        <v>162</v>
      </c>
      <c r="G8">
        <v>258</v>
      </c>
      <c r="H8">
        <v>100</v>
      </c>
      <c r="I8">
        <v>90</v>
      </c>
      <c r="J8">
        <v>68</v>
      </c>
    </row>
    <row r="9" spans="1:10" x14ac:dyDescent="0.3">
      <c r="A9">
        <v>8</v>
      </c>
      <c r="B9" t="s">
        <v>98</v>
      </c>
      <c r="C9" s="1" t="s">
        <v>99</v>
      </c>
      <c r="D9" t="s">
        <v>100</v>
      </c>
      <c r="E9" t="s">
        <v>101</v>
      </c>
      <c r="G9">
        <v>245</v>
      </c>
      <c r="H9">
        <v>100</v>
      </c>
      <c r="I9">
        <v>70</v>
      </c>
      <c r="J9">
        <v>75</v>
      </c>
    </row>
    <row r="10" spans="1:10" x14ac:dyDescent="0.3">
      <c r="A10">
        <v>9</v>
      </c>
      <c r="B10" t="s">
        <v>260</v>
      </c>
      <c r="C10" s="1" t="s">
        <v>261</v>
      </c>
      <c r="D10" t="s">
        <v>96</v>
      </c>
      <c r="E10" t="s">
        <v>262</v>
      </c>
      <c r="G10">
        <v>242</v>
      </c>
      <c r="H10">
        <v>100</v>
      </c>
      <c r="I10">
        <v>100</v>
      </c>
      <c r="J10">
        <v>42</v>
      </c>
    </row>
    <row r="11" spans="1:10" x14ac:dyDescent="0.3">
      <c r="A11">
        <v>10</v>
      </c>
      <c r="B11" t="s">
        <v>326</v>
      </c>
      <c r="C11" s="1" t="s">
        <v>327</v>
      </c>
      <c r="D11" t="s">
        <v>223</v>
      </c>
      <c r="E11" t="s">
        <v>328</v>
      </c>
      <c r="G11">
        <v>240</v>
      </c>
      <c r="H11">
        <v>100</v>
      </c>
      <c r="I11">
        <v>100</v>
      </c>
      <c r="J11">
        <v>40</v>
      </c>
    </row>
    <row r="12" spans="1:10" x14ac:dyDescent="0.3">
      <c r="A12">
        <v>10</v>
      </c>
      <c r="B12" t="s">
        <v>50</v>
      </c>
      <c r="C12" s="1" t="s">
        <v>51</v>
      </c>
      <c r="D12" t="s">
        <v>52</v>
      </c>
      <c r="E12" t="s">
        <v>53</v>
      </c>
      <c r="G12">
        <v>240</v>
      </c>
      <c r="H12">
        <v>100</v>
      </c>
      <c r="I12">
        <v>90</v>
      </c>
      <c r="J12">
        <v>50</v>
      </c>
    </row>
    <row r="13" spans="1:10" x14ac:dyDescent="0.3">
      <c r="A13">
        <v>10</v>
      </c>
      <c r="B13" t="s">
        <v>166</v>
      </c>
      <c r="C13" s="1" t="s">
        <v>167</v>
      </c>
      <c r="D13" t="s">
        <v>168</v>
      </c>
      <c r="E13" t="s">
        <v>169</v>
      </c>
      <c r="G13">
        <v>240</v>
      </c>
      <c r="H13">
        <v>100</v>
      </c>
      <c r="I13">
        <v>100</v>
      </c>
      <c r="J13">
        <v>40</v>
      </c>
    </row>
    <row r="14" spans="1:10" x14ac:dyDescent="0.3">
      <c r="A14">
        <v>13</v>
      </c>
      <c r="B14" t="s">
        <v>539</v>
      </c>
      <c r="C14" s="1" t="s">
        <v>540</v>
      </c>
      <c r="D14" t="s">
        <v>541</v>
      </c>
      <c r="E14" t="s">
        <v>542</v>
      </c>
      <c r="G14">
        <v>232</v>
      </c>
      <c r="H14">
        <v>100</v>
      </c>
      <c r="I14">
        <v>90</v>
      </c>
      <c r="J14">
        <v>42</v>
      </c>
    </row>
    <row r="15" spans="1:10" x14ac:dyDescent="0.3">
      <c r="A15">
        <v>13</v>
      </c>
      <c r="B15" t="s">
        <v>116</v>
      </c>
      <c r="C15" s="1" t="s">
        <v>117</v>
      </c>
      <c r="D15" t="s">
        <v>118</v>
      </c>
      <c r="E15" t="s">
        <v>119</v>
      </c>
      <c r="G15">
        <v>232</v>
      </c>
      <c r="H15">
        <v>100</v>
      </c>
      <c r="I15">
        <v>90</v>
      </c>
      <c r="J15">
        <v>42</v>
      </c>
    </row>
    <row r="16" spans="1:10" x14ac:dyDescent="0.3">
      <c r="A16">
        <v>13</v>
      </c>
      <c r="B16" t="s">
        <v>30</v>
      </c>
      <c r="C16" s="1" t="s">
        <v>31</v>
      </c>
      <c r="D16" t="s">
        <v>20</v>
      </c>
      <c r="E16" t="s">
        <v>32</v>
      </c>
      <c r="G16">
        <v>232</v>
      </c>
      <c r="H16">
        <v>100</v>
      </c>
      <c r="I16">
        <v>90</v>
      </c>
      <c r="J16">
        <v>42</v>
      </c>
    </row>
    <row r="17" spans="1:10" x14ac:dyDescent="0.3">
      <c r="A17">
        <v>13</v>
      </c>
      <c r="B17" t="s">
        <v>290</v>
      </c>
      <c r="C17" s="1" t="s">
        <v>291</v>
      </c>
      <c r="D17" t="s">
        <v>81</v>
      </c>
      <c r="E17" t="s">
        <v>292</v>
      </c>
      <c r="G17">
        <v>232</v>
      </c>
      <c r="H17">
        <v>100</v>
      </c>
      <c r="I17">
        <v>90</v>
      </c>
      <c r="J17">
        <v>42</v>
      </c>
    </row>
    <row r="18" spans="1:10" x14ac:dyDescent="0.3">
      <c r="A18">
        <v>13</v>
      </c>
      <c r="B18" t="s">
        <v>22</v>
      </c>
      <c r="C18" s="1" t="s">
        <v>23</v>
      </c>
      <c r="D18" t="s">
        <v>24</v>
      </c>
      <c r="E18" t="s">
        <v>25</v>
      </c>
      <c r="G18">
        <v>232</v>
      </c>
      <c r="H18">
        <v>100</v>
      </c>
      <c r="I18">
        <v>90</v>
      </c>
      <c r="J18">
        <v>42</v>
      </c>
    </row>
    <row r="19" spans="1:10" x14ac:dyDescent="0.3">
      <c r="A19">
        <v>13</v>
      </c>
      <c r="B19" t="s">
        <v>482</v>
      </c>
      <c r="C19" s="1" t="s">
        <v>483</v>
      </c>
      <c r="D19" t="s">
        <v>24</v>
      </c>
      <c r="E19" t="s">
        <v>484</v>
      </c>
      <c r="G19">
        <v>232</v>
      </c>
      <c r="H19">
        <v>100</v>
      </c>
      <c r="I19">
        <v>90</v>
      </c>
      <c r="J19">
        <v>42</v>
      </c>
    </row>
    <row r="20" spans="1:10" x14ac:dyDescent="0.3">
      <c r="A20">
        <v>13</v>
      </c>
      <c r="B20" t="s">
        <v>228</v>
      </c>
      <c r="C20" s="1" t="s">
        <v>229</v>
      </c>
      <c r="D20" t="s">
        <v>126</v>
      </c>
      <c r="E20" t="s">
        <v>230</v>
      </c>
      <c r="G20">
        <v>232</v>
      </c>
      <c r="H20">
        <v>100</v>
      </c>
      <c r="I20">
        <v>90</v>
      </c>
      <c r="J20">
        <v>42</v>
      </c>
    </row>
    <row r="21" spans="1:10" x14ac:dyDescent="0.3">
      <c r="A21">
        <v>20</v>
      </c>
      <c r="B21" t="s">
        <v>180</v>
      </c>
      <c r="C21" s="1" t="s">
        <v>181</v>
      </c>
      <c r="D21" t="s">
        <v>178</v>
      </c>
      <c r="E21" t="s">
        <v>182</v>
      </c>
      <c r="G21">
        <v>231</v>
      </c>
      <c r="H21">
        <v>100</v>
      </c>
      <c r="I21">
        <v>90</v>
      </c>
      <c r="J21">
        <v>41</v>
      </c>
    </row>
    <row r="22" spans="1:10" x14ac:dyDescent="0.3">
      <c r="A22">
        <v>21</v>
      </c>
      <c r="B22" t="s">
        <v>43</v>
      </c>
      <c r="C22" s="1" t="s">
        <v>44</v>
      </c>
      <c r="D22" t="s">
        <v>24</v>
      </c>
      <c r="E22" t="s">
        <v>45</v>
      </c>
      <c r="G22">
        <v>222</v>
      </c>
      <c r="H22">
        <v>100</v>
      </c>
      <c r="I22">
        <v>80</v>
      </c>
      <c r="J22">
        <v>42</v>
      </c>
    </row>
    <row r="23" spans="1:10" x14ac:dyDescent="0.3">
      <c r="A23">
        <v>22</v>
      </c>
      <c r="B23" t="s">
        <v>91</v>
      </c>
      <c r="C23" s="1" t="s">
        <v>92</v>
      </c>
      <c r="D23" t="s">
        <v>12</v>
      </c>
      <c r="E23" t="s">
        <v>93</v>
      </c>
      <c r="G23">
        <v>219</v>
      </c>
      <c r="H23">
        <v>100</v>
      </c>
      <c r="I23">
        <v>100</v>
      </c>
      <c r="J23">
        <v>19</v>
      </c>
    </row>
    <row r="24" spans="1:10" x14ac:dyDescent="0.3">
      <c r="A24">
        <v>23</v>
      </c>
      <c r="B24" t="s">
        <v>193</v>
      </c>
      <c r="C24" s="1" t="s">
        <v>194</v>
      </c>
      <c r="D24" t="s">
        <v>60</v>
      </c>
      <c r="E24" t="s">
        <v>195</v>
      </c>
      <c r="G24">
        <v>214</v>
      </c>
      <c r="H24">
        <v>100</v>
      </c>
      <c r="I24">
        <v>100</v>
      </c>
      <c r="J24">
        <v>14</v>
      </c>
    </row>
    <row r="25" spans="1:10" x14ac:dyDescent="0.3">
      <c r="A25">
        <v>23</v>
      </c>
      <c r="B25" t="s">
        <v>26</v>
      </c>
      <c r="C25" s="1" t="s">
        <v>27</v>
      </c>
      <c r="D25" t="s">
        <v>28</v>
      </c>
      <c r="E25" t="s">
        <v>29</v>
      </c>
      <c r="G25">
        <v>214</v>
      </c>
      <c r="H25">
        <v>100</v>
      </c>
      <c r="I25">
        <v>100</v>
      </c>
      <c r="J25">
        <v>14</v>
      </c>
    </row>
    <row r="26" spans="1:10" x14ac:dyDescent="0.3">
      <c r="A26">
        <v>23</v>
      </c>
      <c r="B26" t="s">
        <v>354</v>
      </c>
      <c r="C26" s="1" t="s">
        <v>355</v>
      </c>
      <c r="D26" t="s">
        <v>223</v>
      </c>
      <c r="E26" t="s">
        <v>356</v>
      </c>
      <c r="G26">
        <v>214</v>
      </c>
      <c r="H26">
        <v>100</v>
      </c>
      <c r="I26">
        <v>100</v>
      </c>
      <c r="J26">
        <v>14</v>
      </c>
    </row>
    <row r="27" spans="1:10" x14ac:dyDescent="0.3">
      <c r="A27">
        <v>23</v>
      </c>
      <c r="B27" t="s">
        <v>62</v>
      </c>
      <c r="C27" s="1" t="s">
        <v>63</v>
      </c>
      <c r="D27" t="s">
        <v>64</v>
      </c>
      <c r="E27" t="s">
        <v>65</v>
      </c>
      <c r="G27">
        <v>214</v>
      </c>
      <c r="H27">
        <v>100</v>
      </c>
      <c r="I27">
        <v>100</v>
      </c>
      <c r="J27">
        <v>14</v>
      </c>
    </row>
    <row r="28" spans="1:10" x14ac:dyDescent="0.3">
      <c r="A28">
        <v>27</v>
      </c>
      <c r="B28" t="s">
        <v>252</v>
      </c>
      <c r="C28" s="1" t="s">
        <v>253</v>
      </c>
      <c r="D28" t="s">
        <v>254</v>
      </c>
      <c r="E28" t="s">
        <v>255</v>
      </c>
      <c r="F28" t="s">
        <v>252</v>
      </c>
      <c r="G28">
        <v>209</v>
      </c>
      <c r="H28">
        <v>100</v>
      </c>
      <c r="I28">
        <v>90</v>
      </c>
      <c r="J28">
        <v>19</v>
      </c>
    </row>
    <row r="29" spans="1:10" x14ac:dyDescent="0.3">
      <c r="A29">
        <v>28</v>
      </c>
      <c r="B29" t="s">
        <v>335</v>
      </c>
      <c r="C29" s="1" t="s">
        <v>336</v>
      </c>
      <c r="D29" t="s">
        <v>16</v>
      </c>
      <c r="E29" t="s">
        <v>337</v>
      </c>
      <c r="G29">
        <v>204</v>
      </c>
      <c r="H29">
        <v>100</v>
      </c>
      <c r="I29">
        <v>60</v>
      </c>
      <c r="J29">
        <v>44</v>
      </c>
    </row>
    <row r="30" spans="1:10" x14ac:dyDescent="0.3">
      <c r="A30">
        <v>28</v>
      </c>
      <c r="B30" t="s">
        <v>202</v>
      </c>
      <c r="C30" s="1" t="s">
        <v>203</v>
      </c>
      <c r="D30" t="s">
        <v>81</v>
      </c>
      <c r="E30" t="s">
        <v>204</v>
      </c>
      <c r="G30">
        <v>204</v>
      </c>
      <c r="H30">
        <v>100</v>
      </c>
      <c r="I30">
        <v>90</v>
      </c>
      <c r="J30">
        <v>14</v>
      </c>
    </row>
    <row r="31" spans="1:10" x14ac:dyDescent="0.3">
      <c r="A31">
        <v>30</v>
      </c>
      <c r="B31" t="s">
        <v>153</v>
      </c>
      <c r="C31" s="1" t="s">
        <v>154</v>
      </c>
      <c r="D31" t="s">
        <v>155</v>
      </c>
      <c r="E31" t="s">
        <v>156</v>
      </c>
      <c r="G31">
        <v>203</v>
      </c>
      <c r="H31">
        <v>100</v>
      </c>
      <c r="I31">
        <v>90</v>
      </c>
      <c r="J31">
        <v>13</v>
      </c>
    </row>
    <row r="32" spans="1:10" x14ac:dyDescent="0.3">
      <c r="A32">
        <v>31</v>
      </c>
      <c r="B32" t="s">
        <v>444</v>
      </c>
      <c r="C32" s="1" t="s">
        <v>445</v>
      </c>
      <c r="D32" t="s">
        <v>223</v>
      </c>
      <c r="E32" t="s">
        <v>446</v>
      </c>
      <c r="G32">
        <v>202</v>
      </c>
      <c r="H32">
        <v>100</v>
      </c>
      <c r="I32">
        <v>60</v>
      </c>
      <c r="J32">
        <v>42</v>
      </c>
    </row>
    <row r="33" spans="1:10" x14ac:dyDescent="0.3">
      <c r="A33">
        <v>31</v>
      </c>
      <c r="B33" t="s">
        <v>46</v>
      </c>
      <c r="C33" s="1" t="s">
        <v>47</v>
      </c>
      <c r="D33" t="s">
        <v>48</v>
      </c>
      <c r="E33" t="s">
        <v>49</v>
      </c>
      <c r="G33">
        <v>202</v>
      </c>
      <c r="H33">
        <v>100</v>
      </c>
      <c r="I33">
        <v>60</v>
      </c>
      <c r="J33">
        <v>42</v>
      </c>
    </row>
    <row r="34" spans="1:10" x14ac:dyDescent="0.3">
      <c r="A34">
        <v>33</v>
      </c>
      <c r="B34" t="s">
        <v>135</v>
      </c>
      <c r="C34" s="1" t="s">
        <v>136</v>
      </c>
      <c r="D34" t="s">
        <v>28</v>
      </c>
      <c r="E34" t="s">
        <v>137</v>
      </c>
      <c r="G34">
        <v>200</v>
      </c>
      <c r="H34">
        <v>100</v>
      </c>
      <c r="I34">
        <v>100</v>
      </c>
      <c r="J34">
        <v>0</v>
      </c>
    </row>
    <row r="35" spans="1:10" x14ac:dyDescent="0.3">
      <c r="A35">
        <v>33</v>
      </c>
      <c r="B35" t="s">
        <v>79</v>
      </c>
      <c r="C35" s="1" t="s">
        <v>80</v>
      </c>
      <c r="D35" t="s">
        <v>81</v>
      </c>
      <c r="E35" t="s">
        <v>82</v>
      </c>
      <c r="G35">
        <v>200</v>
      </c>
      <c r="H35">
        <v>100</v>
      </c>
      <c r="I35">
        <v>90</v>
      </c>
      <c r="J35">
        <v>10</v>
      </c>
    </row>
    <row r="36" spans="1:10" x14ac:dyDescent="0.3">
      <c r="A36">
        <v>33</v>
      </c>
      <c r="B36" t="s">
        <v>70</v>
      </c>
      <c r="C36" s="1" t="s">
        <v>71</v>
      </c>
      <c r="D36" t="s">
        <v>16</v>
      </c>
      <c r="E36" t="s">
        <v>72</v>
      </c>
      <c r="G36">
        <v>200</v>
      </c>
      <c r="H36">
        <v>100</v>
      </c>
      <c r="I36">
        <v>100</v>
      </c>
      <c r="J36">
        <v>0</v>
      </c>
    </row>
    <row r="37" spans="1:10" x14ac:dyDescent="0.3">
      <c r="A37">
        <v>33</v>
      </c>
      <c r="B37" t="s">
        <v>66</v>
      </c>
      <c r="C37" s="1" t="s">
        <v>67</v>
      </c>
      <c r="D37" t="s">
        <v>68</v>
      </c>
      <c r="E37" t="s">
        <v>69</v>
      </c>
      <c r="G37">
        <v>200</v>
      </c>
      <c r="H37">
        <v>100</v>
      </c>
      <c r="I37">
        <v>100</v>
      </c>
      <c r="J37">
        <v>0</v>
      </c>
    </row>
    <row r="38" spans="1:10" x14ac:dyDescent="0.3">
      <c r="A38">
        <v>37</v>
      </c>
      <c r="B38" t="s">
        <v>329</v>
      </c>
      <c r="C38" s="1" t="s">
        <v>330</v>
      </c>
      <c r="D38" t="s">
        <v>216</v>
      </c>
      <c r="E38" t="s">
        <v>331</v>
      </c>
      <c r="G38">
        <v>194</v>
      </c>
      <c r="H38">
        <v>100</v>
      </c>
      <c r="I38">
        <v>10</v>
      </c>
      <c r="J38">
        <v>84</v>
      </c>
    </row>
    <row r="39" spans="1:10" x14ac:dyDescent="0.3">
      <c r="A39">
        <v>37</v>
      </c>
      <c r="B39" t="s">
        <v>388</v>
      </c>
      <c r="C39" s="1" t="s">
        <v>389</v>
      </c>
      <c r="D39" t="s">
        <v>191</v>
      </c>
      <c r="E39" t="s">
        <v>390</v>
      </c>
      <c r="G39">
        <v>194</v>
      </c>
      <c r="H39">
        <v>100</v>
      </c>
      <c r="I39">
        <v>80</v>
      </c>
      <c r="J39">
        <v>14</v>
      </c>
    </row>
    <row r="40" spans="1:10" x14ac:dyDescent="0.3">
      <c r="A40">
        <v>39</v>
      </c>
      <c r="B40" t="s">
        <v>173</v>
      </c>
      <c r="C40" s="1" t="s">
        <v>174</v>
      </c>
      <c r="D40" t="s">
        <v>133</v>
      </c>
      <c r="E40" t="s">
        <v>175</v>
      </c>
      <c r="G40">
        <v>190</v>
      </c>
      <c r="H40">
        <v>100</v>
      </c>
      <c r="I40">
        <v>90</v>
      </c>
      <c r="J40">
        <v>0</v>
      </c>
    </row>
    <row r="41" spans="1:10" x14ac:dyDescent="0.3">
      <c r="A41">
        <v>39</v>
      </c>
      <c r="B41" t="s">
        <v>176</v>
      </c>
      <c r="C41" s="1" t="s">
        <v>177</v>
      </c>
      <c r="D41" t="s">
        <v>178</v>
      </c>
      <c r="E41" t="s">
        <v>179</v>
      </c>
      <c r="G41">
        <v>190</v>
      </c>
      <c r="H41">
        <v>100</v>
      </c>
      <c r="I41">
        <v>90</v>
      </c>
      <c r="J41">
        <v>0</v>
      </c>
    </row>
    <row r="42" spans="1:10" x14ac:dyDescent="0.3">
      <c r="A42">
        <v>39</v>
      </c>
      <c r="B42" t="s">
        <v>406</v>
      </c>
      <c r="C42" s="1" t="s">
        <v>407</v>
      </c>
      <c r="D42" t="s">
        <v>178</v>
      </c>
      <c r="E42" t="s">
        <v>408</v>
      </c>
      <c r="G42">
        <v>190</v>
      </c>
      <c r="H42">
        <v>100</v>
      </c>
      <c r="I42">
        <v>90</v>
      </c>
      <c r="J42">
        <v>0</v>
      </c>
    </row>
    <row r="43" spans="1:10" x14ac:dyDescent="0.3">
      <c r="A43">
        <v>39</v>
      </c>
      <c r="B43" t="s">
        <v>39</v>
      </c>
      <c r="C43" s="1" t="s">
        <v>40</v>
      </c>
      <c r="D43" t="s">
        <v>41</v>
      </c>
      <c r="E43" t="s">
        <v>42</v>
      </c>
      <c r="G43">
        <v>190</v>
      </c>
      <c r="H43">
        <v>0</v>
      </c>
      <c r="I43">
        <v>90</v>
      </c>
      <c r="J43">
        <v>100</v>
      </c>
    </row>
    <row r="44" spans="1:10" x14ac:dyDescent="0.3">
      <c r="A44">
        <v>39</v>
      </c>
      <c r="B44" t="s">
        <v>211</v>
      </c>
      <c r="C44" s="1" t="s">
        <v>212</v>
      </c>
      <c r="D44" t="s">
        <v>147</v>
      </c>
      <c r="E44" t="s">
        <v>213</v>
      </c>
      <c r="G44">
        <v>190</v>
      </c>
      <c r="H44">
        <v>100</v>
      </c>
      <c r="I44">
        <v>90</v>
      </c>
      <c r="J44">
        <v>0</v>
      </c>
    </row>
    <row r="45" spans="1:10" x14ac:dyDescent="0.3">
      <c r="A45">
        <v>44</v>
      </c>
      <c r="B45" t="s">
        <v>351</v>
      </c>
      <c r="C45" s="1" t="s">
        <v>352</v>
      </c>
      <c r="D45" t="s">
        <v>178</v>
      </c>
      <c r="E45" t="s">
        <v>353</v>
      </c>
      <c r="G45">
        <v>184</v>
      </c>
      <c r="H45">
        <v>100</v>
      </c>
      <c r="I45">
        <v>70</v>
      </c>
      <c r="J45">
        <v>14</v>
      </c>
    </row>
    <row r="46" spans="1:10" x14ac:dyDescent="0.3">
      <c r="A46">
        <v>44</v>
      </c>
      <c r="B46" t="s">
        <v>225</v>
      </c>
      <c r="C46" s="1" t="s">
        <v>226</v>
      </c>
      <c r="E46" t="s">
        <v>227</v>
      </c>
      <c r="G46">
        <v>184</v>
      </c>
      <c r="H46">
        <v>100</v>
      </c>
      <c r="I46">
        <v>60</v>
      </c>
      <c r="J46">
        <v>24</v>
      </c>
    </row>
    <row r="47" spans="1:10" x14ac:dyDescent="0.3">
      <c r="A47">
        <v>44</v>
      </c>
      <c r="B47" t="s">
        <v>124</v>
      </c>
      <c r="C47" s="1" t="s">
        <v>125</v>
      </c>
      <c r="D47" t="s">
        <v>126</v>
      </c>
      <c r="E47" t="s">
        <v>127</v>
      </c>
      <c r="G47">
        <v>184</v>
      </c>
      <c r="H47">
        <v>100</v>
      </c>
      <c r="I47">
        <v>70</v>
      </c>
      <c r="J47">
        <v>14</v>
      </c>
    </row>
    <row r="48" spans="1:10" x14ac:dyDescent="0.3">
      <c r="A48">
        <v>47</v>
      </c>
      <c r="B48" t="s">
        <v>163</v>
      </c>
      <c r="C48" s="1" t="s">
        <v>164</v>
      </c>
      <c r="D48" t="s">
        <v>89</v>
      </c>
      <c r="E48" t="s">
        <v>165</v>
      </c>
      <c r="G48">
        <v>182</v>
      </c>
      <c r="H48">
        <v>100</v>
      </c>
      <c r="I48">
        <v>40</v>
      </c>
      <c r="J48">
        <v>42</v>
      </c>
    </row>
    <row r="49" spans="1:10" x14ac:dyDescent="0.3">
      <c r="A49">
        <v>48</v>
      </c>
      <c r="B49" t="s">
        <v>256</v>
      </c>
      <c r="C49" s="1" t="s">
        <v>257</v>
      </c>
      <c r="D49" t="s">
        <v>258</v>
      </c>
      <c r="E49" t="s">
        <v>259</v>
      </c>
      <c r="G49">
        <v>178</v>
      </c>
      <c r="H49">
        <v>100</v>
      </c>
      <c r="I49">
        <v>0</v>
      </c>
      <c r="J49">
        <v>78</v>
      </c>
    </row>
    <row r="50" spans="1:10" x14ac:dyDescent="0.3">
      <c r="A50">
        <v>49</v>
      </c>
      <c r="B50" t="s">
        <v>553</v>
      </c>
      <c r="C50" s="1" t="s">
        <v>554</v>
      </c>
      <c r="D50" t="s">
        <v>555</v>
      </c>
      <c r="E50" t="s">
        <v>556</v>
      </c>
      <c r="G50">
        <v>175</v>
      </c>
      <c r="H50">
        <v>100</v>
      </c>
      <c r="I50">
        <v>0</v>
      </c>
      <c r="J50">
        <v>75</v>
      </c>
    </row>
    <row r="51" spans="1:10" x14ac:dyDescent="0.3">
      <c r="A51">
        <v>50</v>
      </c>
      <c r="B51" t="s">
        <v>284</v>
      </c>
      <c r="C51" s="1" t="s">
        <v>285</v>
      </c>
      <c r="D51" t="s">
        <v>100</v>
      </c>
      <c r="E51" t="s">
        <v>286</v>
      </c>
      <c r="G51">
        <v>172</v>
      </c>
      <c r="H51">
        <v>100</v>
      </c>
      <c r="I51">
        <v>30</v>
      </c>
      <c r="J51">
        <v>42</v>
      </c>
    </row>
    <row r="52" spans="1:10" x14ac:dyDescent="0.3">
      <c r="A52">
        <v>51</v>
      </c>
      <c r="B52" t="s">
        <v>513</v>
      </c>
      <c r="C52" s="1" t="s">
        <v>514</v>
      </c>
      <c r="D52" t="s">
        <v>108</v>
      </c>
      <c r="E52" t="s">
        <v>515</v>
      </c>
      <c r="G52">
        <v>170</v>
      </c>
      <c r="H52">
        <v>100</v>
      </c>
      <c r="I52">
        <v>70</v>
      </c>
      <c r="J52">
        <v>0</v>
      </c>
    </row>
    <row r="53" spans="1:10" x14ac:dyDescent="0.3">
      <c r="A53">
        <v>52</v>
      </c>
      <c r="B53" t="s">
        <v>183</v>
      </c>
      <c r="C53" s="1" t="s">
        <v>184</v>
      </c>
      <c r="D53" t="s">
        <v>104</v>
      </c>
      <c r="E53" t="s">
        <v>185</v>
      </c>
      <c r="G53">
        <v>162</v>
      </c>
      <c r="H53">
        <v>100</v>
      </c>
      <c r="I53">
        <v>20</v>
      </c>
      <c r="J53">
        <v>42</v>
      </c>
    </row>
    <row r="54" spans="1:10" x14ac:dyDescent="0.3">
      <c r="A54">
        <v>53</v>
      </c>
      <c r="B54" t="s">
        <v>459</v>
      </c>
      <c r="C54" s="1" t="s">
        <v>460</v>
      </c>
      <c r="D54" t="s">
        <v>461</v>
      </c>
      <c r="E54" t="s">
        <v>462</v>
      </c>
      <c r="G54">
        <v>160</v>
      </c>
      <c r="H54">
        <v>100</v>
      </c>
      <c r="I54">
        <v>60</v>
      </c>
      <c r="J54">
        <v>0</v>
      </c>
    </row>
    <row r="55" spans="1:10" x14ac:dyDescent="0.3">
      <c r="A55">
        <v>53</v>
      </c>
      <c r="B55" t="s">
        <v>344</v>
      </c>
      <c r="C55" s="1" t="s">
        <v>345</v>
      </c>
      <c r="D55" t="s">
        <v>346</v>
      </c>
      <c r="E55" t="s">
        <v>347</v>
      </c>
      <c r="G55">
        <v>160</v>
      </c>
      <c r="H55">
        <v>100</v>
      </c>
      <c r="I55">
        <v>60</v>
      </c>
      <c r="J55">
        <v>0</v>
      </c>
    </row>
    <row r="56" spans="1:10" x14ac:dyDescent="0.3">
      <c r="A56">
        <v>53</v>
      </c>
      <c r="B56" t="s">
        <v>110</v>
      </c>
      <c r="C56" s="1" t="s">
        <v>111</v>
      </c>
      <c r="D56" t="s">
        <v>96</v>
      </c>
      <c r="E56" t="s">
        <v>112</v>
      </c>
      <c r="G56">
        <v>160</v>
      </c>
      <c r="H56">
        <v>100</v>
      </c>
      <c r="I56">
        <v>60</v>
      </c>
      <c r="J56">
        <v>0</v>
      </c>
    </row>
    <row r="57" spans="1:10" x14ac:dyDescent="0.3">
      <c r="A57">
        <v>53</v>
      </c>
      <c r="B57" t="s">
        <v>221</v>
      </c>
      <c r="C57" s="1" t="s">
        <v>222</v>
      </c>
      <c r="D57" t="s">
        <v>223</v>
      </c>
      <c r="E57" t="s">
        <v>224</v>
      </c>
      <c r="G57">
        <v>160</v>
      </c>
      <c r="H57">
        <v>100</v>
      </c>
      <c r="I57">
        <v>60</v>
      </c>
      <c r="J57">
        <v>0</v>
      </c>
    </row>
    <row r="58" spans="1:10" x14ac:dyDescent="0.3">
      <c r="A58">
        <v>57</v>
      </c>
      <c r="B58" t="s">
        <v>218</v>
      </c>
      <c r="C58" s="1" t="s">
        <v>219</v>
      </c>
      <c r="D58" t="s">
        <v>16</v>
      </c>
      <c r="E58" t="s">
        <v>220</v>
      </c>
      <c r="G58">
        <v>152</v>
      </c>
      <c r="H58">
        <v>100</v>
      </c>
      <c r="I58">
        <v>10</v>
      </c>
      <c r="J58">
        <v>42</v>
      </c>
    </row>
    <row r="59" spans="1:10" x14ac:dyDescent="0.3">
      <c r="A59">
        <v>57</v>
      </c>
      <c r="B59" t="s">
        <v>374</v>
      </c>
      <c r="C59" s="1" t="s">
        <v>375</v>
      </c>
      <c r="D59" t="s">
        <v>24</v>
      </c>
      <c r="E59" t="s">
        <v>376</v>
      </c>
      <c r="G59">
        <v>152</v>
      </c>
      <c r="H59">
        <v>100</v>
      </c>
      <c r="I59">
        <v>10</v>
      </c>
      <c r="J59">
        <v>42</v>
      </c>
    </row>
    <row r="60" spans="1:10" x14ac:dyDescent="0.3">
      <c r="A60">
        <v>57</v>
      </c>
      <c r="B60" t="s">
        <v>497</v>
      </c>
      <c r="C60" s="1" t="s">
        <v>498</v>
      </c>
      <c r="D60" t="s">
        <v>282</v>
      </c>
      <c r="E60" t="s">
        <v>499</v>
      </c>
      <c r="G60">
        <v>152</v>
      </c>
      <c r="H60">
        <v>100</v>
      </c>
      <c r="I60">
        <v>10</v>
      </c>
      <c r="J60">
        <v>42</v>
      </c>
    </row>
    <row r="61" spans="1:10" x14ac:dyDescent="0.3">
      <c r="A61">
        <v>60</v>
      </c>
      <c r="B61" t="s">
        <v>243</v>
      </c>
      <c r="C61" s="1" t="s">
        <v>244</v>
      </c>
      <c r="D61" t="s">
        <v>191</v>
      </c>
      <c r="E61" t="s">
        <v>245</v>
      </c>
      <c r="G61">
        <v>150</v>
      </c>
      <c r="H61">
        <v>100</v>
      </c>
      <c r="I61">
        <v>50</v>
      </c>
      <c r="J61">
        <v>0</v>
      </c>
    </row>
    <row r="62" spans="1:10" x14ac:dyDescent="0.3">
      <c r="A62">
        <v>60</v>
      </c>
      <c r="B62" t="s">
        <v>338</v>
      </c>
      <c r="C62" s="1" t="s">
        <v>339</v>
      </c>
      <c r="D62" t="s">
        <v>48</v>
      </c>
      <c r="E62" t="s">
        <v>340</v>
      </c>
      <c r="G62">
        <v>150</v>
      </c>
      <c r="H62">
        <v>100</v>
      </c>
      <c r="I62">
        <v>50</v>
      </c>
      <c r="J62">
        <v>0</v>
      </c>
    </row>
    <row r="63" spans="1:10" x14ac:dyDescent="0.3">
      <c r="A63">
        <v>60</v>
      </c>
      <c r="B63" t="s">
        <v>196</v>
      </c>
      <c r="C63" s="1" t="s">
        <v>197</v>
      </c>
      <c r="D63" t="s">
        <v>20</v>
      </c>
      <c r="E63" t="s">
        <v>198</v>
      </c>
      <c r="G63">
        <v>150</v>
      </c>
      <c r="H63">
        <v>100</v>
      </c>
      <c r="I63">
        <v>50</v>
      </c>
      <c r="J63">
        <v>0</v>
      </c>
    </row>
    <row r="64" spans="1:10" x14ac:dyDescent="0.3">
      <c r="A64">
        <v>63</v>
      </c>
      <c r="B64" t="s">
        <v>280</v>
      </c>
      <c r="C64" s="1" t="s">
        <v>281</v>
      </c>
      <c r="D64" t="s">
        <v>282</v>
      </c>
      <c r="E64" t="s">
        <v>283</v>
      </c>
      <c r="G64">
        <v>144</v>
      </c>
      <c r="H64">
        <v>30</v>
      </c>
      <c r="I64">
        <v>90</v>
      </c>
      <c r="J64">
        <v>24</v>
      </c>
    </row>
    <row r="65" spans="1:10" x14ac:dyDescent="0.3">
      <c r="A65">
        <v>63</v>
      </c>
      <c r="B65" t="s">
        <v>10</v>
      </c>
      <c r="C65" s="1" t="s">
        <v>11</v>
      </c>
      <c r="D65" t="s">
        <v>12</v>
      </c>
      <c r="E65" t="s">
        <v>13</v>
      </c>
      <c r="G65">
        <v>144</v>
      </c>
      <c r="H65">
        <v>100</v>
      </c>
      <c r="I65">
        <v>30</v>
      </c>
      <c r="J65">
        <v>14</v>
      </c>
    </row>
    <row r="66" spans="1:10" x14ac:dyDescent="0.3">
      <c r="A66">
        <v>63</v>
      </c>
      <c r="B66" t="s">
        <v>313</v>
      </c>
      <c r="C66" s="1" t="s">
        <v>314</v>
      </c>
      <c r="D66" t="s">
        <v>315</v>
      </c>
      <c r="E66" t="s">
        <v>316</v>
      </c>
      <c r="G66">
        <v>144</v>
      </c>
      <c r="H66">
        <v>100</v>
      </c>
      <c r="I66">
        <v>30</v>
      </c>
      <c r="J66">
        <v>14</v>
      </c>
    </row>
    <row r="67" spans="1:10" x14ac:dyDescent="0.3">
      <c r="A67">
        <v>66</v>
      </c>
      <c r="B67" t="s">
        <v>473</v>
      </c>
      <c r="C67" s="1" t="s">
        <v>474</v>
      </c>
      <c r="D67" t="s">
        <v>100</v>
      </c>
      <c r="E67" t="s">
        <v>475</v>
      </c>
      <c r="G67">
        <v>142</v>
      </c>
      <c r="H67">
        <v>100</v>
      </c>
      <c r="I67">
        <v>0</v>
      </c>
      <c r="J67">
        <v>42</v>
      </c>
    </row>
    <row r="68" spans="1:10" x14ac:dyDescent="0.3">
      <c r="A68">
        <v>66</v>
      </c>
      <c r="B68" t="s">
        <v>385</v>
      </c>
      <c r="C68" s="1" t="s">
        <v>386</v>
      </c>
      <c r="D68" t="s">
        <v>346</v>
      </c>
      <c r="E68" t="s">
        <v>387</v>
      </c>
      <c r="G68">
        <v>142</v>
      </c>
      <c r="H68">
        <v>100</v>
      </c>
      <c r="I68">
        <v>0</v>
      </c>
      <c r="J68">
        <v>42</v>
      </c>
    </row>
    <row r="69" spans="1:10" x14ac:dyDescent="0.3">
      <c r="A69">
        <v>68</v>
      </c>
      <c r="B69" t="s">
        <v>145</v>
      </c>
      <c r="C69" s="1" t="s">
        <v>146</v>
      </c>
      <c r="D69" t="s">
        <v>147</v>
      </c>
      <c r="E69" t="s">
        <v>148</v>
      </c>
      <c r="G69">
        <v>140</v>
      </c>
      <c r="H69">
        <v>100</v>
      </c>
      <c r="I69">
        <v>40</v>
      </c>
      <c r="J69">
        <v>0</v>
      </c>
    </row>
    <row r="70" spans="1:10" x14ac:dyDescent="0.3">
      <c r="A70">
        <v>69</v>
      </c>
      <c r="B70" t="s">
        <v>205</v>
      </c>
      <c r="C70" s="1" t="s">
        <v>206</v>
      </c>
      <c r="D70" t="s">
        <v>89</v>
      </c>
      <c r="E70" t="s">
        <v>207</v>
      </c>
      <c r="G70">
        <v>139</v>
      </c>
      <c r="H70">
        <v>100</v>
      </c>
      <c r="I70">
        <v>0</v>
      </c>
      <c r="J70">
        <v>39</v>
      </c>
    </row>
    <row r="71" spans="1:10" x14ac:dyDescent="0.3">
      <c r="A71">
        <v>70</v>
      </c>
      <c r="B71" t="s">
        <v>189</v>
      </c>
      <c r="C71" s="1" t="s">
        <v>190</v>
      </c>
      <c r="D71" t="s">
        <v>191</v>
      </c>
      <c r="E71" t="s">
        <v>192</v>
      </c>
      <c r="G71">
        <v>134</v>
      </c>
      <c r="H71">
        <v>100</v>
      </c>
      <c r="I71">
        <v>10</v>
      </c>
      <c r="J71">
        <v>24</v>
      </c>
    </row>
    <row r="72" spans="1:10" x14ac:dyDescent="0.3">
      <c r="A72">
        <v>70</v>
      </c>
      <c r="B72" t="s">
        <v>234</v>
      </c>
      <c r="C72" s="1" t="s">
        <v>235</v>
      </c>
      <c r="D72" t="s">
        <v>20</v>
      </c>
      <c r="E72" t="s">
        <v>236</v>
      </c>
      <c r="G72">
        <v>134</v>
      </c>
      <c r="H72">
        <v>100</v>
      </c>
      <c r="I72">
        <v>20</v>
      </c>
      <c r="J72">
        <v>14</v>
      </c>
    </row>
    <row r="73" spans="1:10" x14ac:dyDescent="0.3">
      <c r="A73">
        <v>72</v>
      </c>
      <c r="B73" t="s">
        <v>296</v>
      </c>
      <c r="C73" s="1" t="s">
        <v>297</v>
      </c>
      <c r="D73" t="s">
        <v>178</v>
      </c>
      <c r="E73" t="s">
        <v>298</v>
      </c>
      <c r="G73">
        <v>130</v>
      </c>
      <c r="H73">
        <v>100</v>
      </c>
      <c r="I73">
        <v>30</v>
      </c>
      <c r="J73">
        <v>0</v>
      </c>
    </row>
    <row r="74" spans="1:10" x14ac:dyDescent="0.3">
      <c r="A74">
        <v>72</v>
      </c>
      <c r="B74" t="s">
        <v>120</v>
      </c>
      <c r="C74" s="1" t="s">
        <v>121</v>
      </c>
      <c r="D74" t="s">
        <v>122</v>
      </c>
      <c r="E74" t="s">
        <v>123</v>
      </c>
      <c r="G74">
        <v>130</v>
      </c>
      <c r="H74">
        <v>30</v>
      </c>
      <c r="I74">
        <v>100</v>
      </c>
      <c r="J74">
        <v>0</v>
      </c>
    </row>
    <row r="75" spans="1:10" x14ac:dyDescent="0.3">
      <c r="A75">
        <v>72</v>
      </c>
      <c r="B75" t="s">
        <v>102</v>
      </c>
      <c r="C75" s="1" t="s">
        <v>103</v>
      </c>
      <c r="D75" t="s">
        <v>104</v>
      </c>
      <c r="E75" t="s">
        <v>105</v>
      </c>
      <c r="G75">
        <v>130</v>
      </c>
      <c r="H75">
        <v>100</v>
      </c>
      <c r="I75">
        <v>30</v>
      </c>
      <c r="J75">
        <v>0</v>
      </c>
    </row>
    <row r="76" spans="1:10" x14ac:dyDescent="0.3">
      <c r="A76">
        <v>72</v>
      </c>
      <c r="B76" t="s">
        <v>83</v>
      </c>
      <c r="C76" s="1" t="s">
        <v>84</v>
      </c>
      <c r="D76" t="s">
        <v>85</v>
      </c>
      <c r="E76" t="s">
        <v>86</v>
      </c>
      <c r="G76">
        <v>130</v>
      </c>
      <c r="H76">
        <v>100</v>
      </c>
      <c r="I76">
        <v>20</v>
      </c>
      <c r="J76">
        <v>10</v>
      </c>
    </row>
    <row r="77" spans="1:10" x14ac:dyDescent="0.3">
      <c r="A77">
        <v>72</v>
      </c>
      <c r="B77" t="s">
        <v>73</v>
      </c>
      <c r="C77" s="1" t="s">
        <v>74</v>
      </c>
      <c r="D77" t="s">
        <v>28</v>
      </c>
      <c r="E77" t="s">
        <v>75</v>
      </c>
      <c r="G77">
        <v>130</v>
      </c>
      <c r="H77">
        <v>100</v>
      </c>
      <c r="I77">
        <v>30</v>
      </c>
      <c r="J77">
        <v>0</v>
      </c>
    </row>
    <row r="78" spans="1:10" x14ac:dyDescent="0.3">
      <c r="A78">
        <v>72</v>
      </c>
      <c r="B78" t="s">
        <v>360</v>
      </c>
      <c r="C78" s="1" t="s">
        <v>361</v>
      </c>
      <c r="D78" t="s">
        <v>362</v>
      </c>
      <c r="E78" t="s">
        <v>363</v>
      </c>
      <c r="G78">
        <v>130</v>
      </c>
      <c r="H78">
        <v>100</v>
      </c>
      <c r="I78">
        <v>30</v>
      </c>
      <c r="J78">
        <v>0</v>
      </c>
    </row>
    <row r="79" spans="1:10" x14ac:dyDescent="0.3">
      <c r="A79">
        <v>78</v>
      </c>
      <c r="B79" t="s">
        <v>310</v>
      </c>
      <c r="C79" s="1" t="s">
        <v>311</v>
      </c>
      <c r="D79" t="s">
        <v>89</v>
      </c>
      <c r="E79" t="s">
        <v>312</v>
      </c>
      <c r="G79">
        <v>128</v>
      </c>
      <c r="H79">
        <v>100</v>
      </c>
      <c r="I79">
        <v>10</v>
      </c>
      <c r="J79">
        <v>18</v>
      </c>
    </row>
    <row r="80" spans="1:10" x14ac:dyDescent="0.3">
      <c r="A80">
        <v>79</v>
      </c>
      <c r="B80" t="s">
        <v>246</v>
      </c>
      <c r="C80" s="1" t="s">
        <v>247</v>
      </c>
      <c r="D80" t="s">
        <v>178</v>
      </c>
      <c r="E80" t="s">
        <v>248</v>
      </c>
      <c r="G80">
        <v>124</v>
      </c>
      <c r="H80">
        <v>100</v>
      </c>
      <c r="I80">
        <v>10</v>
      </c>
      <c r="J80">
        <v>14</v>
      </c>
    </row>
    <row r="81" spans="1:10" x14ac:dyDescent="0.3">
      <c r="A81">
        <v>79</v>
      </c>
      <c r="B81" t="s">
        <v>367</v>
      </c>
      <c r="C81" s="1" t="s">
        <v>368</v>
      </c>
      <c r="D81" t="s">
        <v>369</v>
      </c>
      <c r="E81" t="s">
        <v>370</v>
      </c>
      <c r="G81">
        <v>124</v>
      </c>
      <c r="H81">
        <v>100</v>
      </c>
      <c r="I81">
        <v>10</v>
      </c>
      <c r="J81">
        <v>14</v>
      </c>
    </row>
    <row r="82" spans="1:10" x14ac:dyDescent="0.3">
      <c r="A82">
        <v>79</v>
      </c>
      <c r="B82" t="s">
        <v>427</v>
      </c>
      <c r="C82" s="1" t="s">
        <v>428</v>
      </c>
      <c r="D82" t="s">
        <v>254</v>
      </c>
      <c r="E82" t="s">
        <v>429</v>
      </c>
      <c r="G82">
        <v>124</v>
      </c>
      <c r="H82">
        <v>100</v>
      </c>
      <c r="I82">
        <v>0</v>
      </c>
      <c r="J82">
        <v>24</v>
      </c>
    </row>
    <row r="83" spans="1:10" x14ac:dyDescent="0.3">
      <c r="A83">
        <v>79</v>
      </c>
      <c r="B83" t="s">
        <v>491</v>
      </c>
      <c r="C83" s="1" t="s">
        <v>492</v>
      </c>
      <c r="D83" t="s">
        <v>178</v>
      </c>
      <c r="E83" t="s">
        <v>493</v>
      </c>
      <c r="G83">
        <v>124</v>
      </c>
      <c r="H83">
        <v>100</v>
      </c>
      <c r="I83">
        <v>10</v>
      </c>
      <c r="J83">
        <v>14</v>
      </c>
    </row>
    <row r="84" spans="1:10" x14ac:dyDescent="0.3">
      <c r="A84">
        <v>79</v>
      </c>
      <c r="B84" t="s">
        <v>87</v>
      </c>
      <c r="C84" s="1" t="s">
        <v>88</v>
      </c>
      <c r="D84" t="s">
        <v>89</v>
      </c>
      <c r="E84" t="s">
        <v>90</v>
      </c>
      <c r="G84">
        <v>124</v>
      </c>
      <c r="H84">
        <v>100</v>
      </c>
      <c r="I84">
        <v>10</v>
      </c>
      <c r="J84">
        <v>14</v>
      </c>
    </row>
    <row r="85" spans="1:10" x14ac:dyDescent="0.3">
      <c r="A85">
        <v>79</v>
      </c>
      <c r="B85" t="s">
        <v>400</v>
      </c>
      <c r="C85" s="1" t="s">
        <v>401</v>
      </c>
      <c r="D85" t="s">
        <v>89</v>
      </c>
      <c r="E85" t="s">
        <v>402</v>
      </c>
      <c r="G85">
        <v>124</v>
      </c>
      <c r="H85">
        <v>100</v>
      </c>
      <c r="I85">
        <v>0</v>
      </c>
      <c r="J85">
        <v>24</v>
      </c>
    </row>
    <row r="86" spans="1:10" x14ac:dyDescent="0.3">
      <c r="A86">
        <v>79</v>
      </c>
      <c r="B86" t="s">
        <v>277</v>
      </c>
      <c r="C86" s="1" t="s">
        <v>278</v>
      </c>
      <c r="D86" t="s">
        <v>60</v>
      </c>
      <c r="E86" t="s">
        <v>279</v>
      </c>
      <c r="G86">
        <v>124</v>
      </c>
      <c r="H86">
        <v>100</v>
      </c>
      <c r="I86">
        <v>10</v>
      </c>
      <c r="J86">
        <v>14</v>
      </c>
    </row>
    <row r="87" spans="1:10" x14ac:dyDescent="0.3">
      <c r="A87">
        <v>79</v>
      </c>
      <c r="B87" t="s">
        <v>186</v>
      </c>
      <c r="C87" s="1" t="s">
        <v>187</v>
      </c>
      <c r="D87" t="s">
        <v>81</v>
      </c>
      <c r="E87" t="s">
        <v>188</v>
      </c>
      <c r="G87">
        <v>124</v>
      </c>
      <c r="H87">
        <v>100</v>
      </c>
      <c r="I87">
        <v>10</v>
      </c>
      <c r="J87">
        <v>14</v>
      </c>
    </row>
    <row r="88" spans="1:10" x14ac:dyDescent="0.3">
      <c r="A88">
        <v>87</v>
      </c>
      <c r="B88" t="s">
        <v>113</v>
      </c>
      <c r="C88" s="1" t="s">
        <v>114</v>
      </c>
      <c r="D88" t="s">
        <v>60</v>
      </c>
      <c r="E88" t="s">
        <v>115</v>
      </c>
      <c r="G88">
        <v>120</v>
      </c>
      <c r="H88">
        <v>50</v>
      </c>
      <c r="I88">
        <v>70</v>
      </c>
      <c r="J88">
        <v>0</v>
      </c>
    </row>
    <row r="89" spans="1:10" x14ac:dyDescent="0.3">
      <c r="A89">
        <v>87</v>
      </c>
      <c r="B89" t="s">
        <v>214</v>
      </c>
      <c r="C89" s="1" t="s">
        <v>215</v>
      </c>
      <c r="D89" t="s">
        <v>216</v>
      </c>
      <c r="E89" t="s">
        <v>217</v>
      </c>
      <c r="G89">
        <v>120</v>
      </c>
      <c r="H89">
        <v>100</v>
      </c>
      <c r="I89">
        <v>20</v>
      </c>
      <c r="J89">
        <v>0</v>
      </c>
    </row>
    <row r="90" spans="1:10" x14ac:dyDescent="0.3">
      <c r="A90">
        <v>89</v>
      </c>
      <c r="B90" t="s">
        <v>371</v>
      </c>
      <c r="C90" s="1" t="s">
        <v>372</v>
      </c>
      <c r="D90" t="s">
        <v>178</v>
      </c>
      <c r="E90" t="s">
        <v>373</v>
      </c>
      <c r="G90">
        <v>116</v>
      </c>
      <c r="H90">
        <v>100</v>
      </c>
      <c r="I90">
        <v>0</v>
      </c>
      <c r="J90">
        <v>16</v>
      </c>
    </row>
    <row r="91" spans="1:10" x14ac:dyDescent="0.3">
      <c r="A91">
        <v>90</v>
      </c>
      <c r="B91" t="s">
        <v>430</v>
      </c>
      <c r="C91" s="1" t="s">
        <v>431</v>
      </c>
      <c r="D91" t="s">
        <v>258</v>
      </c>
      <c r="E91" t="s">
        <v>432</v>
      </c>
      <c r="G91">
        <v>114</v>
      </c>
      <c r="H91">
        <v>100</v>
      </c>
      <c r="I91">
        <v>0</v>
      </c>
      <c r="J91">
        <v>14</v>
      </c>
    </row>
    <row r="92" spans="1:10" x14ac:dyDescent="0.3">
      <c r="A92">
        <v>90</v>
      </c>
      <c r="B92" t="s">
        <v>526</v>
      </c>
      <c r="C92" s="1" t="s">
        <v>527</v>
      </c>
      <c r="D92" t="s">
        <v>81</v>
      </c>
      <c r="E92" t="s">
        <v>528</v>
      </c>
      <c r="G92">
        <v>114</v>
      </c>
      <c r="H92">
        <v>100</v>
      </c>
      <c r="I92">
        <v>0</v>
      </c>
      <c r="J92">
        <v>14</v>
      </c>
    </row>
    <row r="93" spans="1:10" x14ac:dyDescent="0.3">
      <c r="A93">
        <v>90</v>
      </c>
      <c r="B93" t="s">
        <v>543</v>
      </c>
      <c r="C93" s="1" t="s">
        <v>544</v>
      </c>
      <c r="D93" t="s">
        <v>191</v>
      </c>
      <c r="E93" t="s">
        <v>545</v>
      </c>
      <c r="G93">
        <v>114</v>
      </c>
      <c r="H93">
        <v>100</v>
      </c>
      <c r="I93">
        <v>0</v>
      </c>
      <c r="J93">
        <v>14</v>
      </c>
    </row>
    <row r="94" spans="1:10" x14ac:dyDescent="0.3">
      <c r="A94">
        <v>93</v>
      </c>
      <c r="B94" t="s">
        <v>287</v>
      </c>
      <c r="C94" s="1" t="s">
        <v>288</v>
      </c>
      <c r="D94" t="s">
        <v>178</v>
      </c>
      <c r="E94" t="s">
        <v>289</v>
      </c>
      <c r="G94">
        <v>110</v>
      </c>
      <c r="H94">
        <v>100</v>
      </c>
      <c r="I94">
        <v>10</v>
      </c>
      <c r="J94">
        <v>0</v>
      </c>
    </row>
    <row r="95" spans="1:10" x14ac:dyDescent="0.3">
      <c r="A95">
        <v>93</v>
      </c>
      <c r="B95" t="s">
        <v>341</v>
      </c>
      <c r="C95" s="1" t="s">
        <v>342</v>
      </c>
      <c r="D95" t="s">
        <v>147</v>
      </c>
      <c r="E95" t="s">
        <v>343</v>
      </c>
      <c r="G95">
        <v>110</v>
      </c>
      <c r="H95">
        <v>100</v>
      </c>
      <c r="I95">
        <v>10</v>
      </c>
      <c r="J95">
        <v>0</v>
      </c>
    </row>
    <row r="96" spans="1:10" x14ac:dyDescent="0.3">
      <c r="A96">
        <v>93</v>
      </c>
      <c r="B96" t="s">
        <v>364</v>
      </c>
      <c r="C96" s="1" t="s">
        <v>365</v>
      </c>
      <c r="D96" t="s">
        <v>12</v>
      </c>
      <c r="E96" t="s">
        <v>366</v>
      </c>
      <c r="G96">
        <v>110</v>
      </c>
      <c r="H96">
        <v>100</v>
      </c>
      <c r="I96">
        <v>10</v>
      </c>
      <c r="J96">
        <v>0</v>
      </c>
    </row>
    <row r="97" spans="1:10" x14ac:dyDescent="0.3">
      <c r="A97">
        <v>93</v>
      </c>
      <c r="B97" t="s">
        <v>317</v>
      </c>
      <c r="C97" s="1" t="s">
        <v>318</v>
      </c>
      <c r="D97" t="s">
        <v>178</v>
      </c>
      <c r="E97" t="s">
        <v>319</v>
      </c>
      <c r="G97">
        <v>110</v>
      </c>
      <c r="H97">
        <v>100</v>
      </c>
      <c r="I97">
        <v>10</v>
      </c>
      <c r="J97">
        <v>0</v>
      </c>
    </row>
    <row r="98" spans="1:10" x14ac:dyDescent="0.3">
      <c r="A98">
        <v>93</v>
      </c>
      <c r="B98" t="s">
        <v>433</v>
      </c>
      <c r="C98" s="1" t="s">
        <v>434</v>
      </c>
      <c r="D98" t="s">
        <v>81</v>
      </c>
      <c r="E98" t="s">
        <v>435</v>
      </c>
      <c r="G98">
        <v>110</v>
      </c>
      <c r="H98">
        <v>100</v>
      </c>
      <c r="I98">
        <v>10</v>
      </c>
      <c r="J98">
        <v>0</v>
      </c>
    </row>
    <row r="99" spans="1:10" x14ac:dyDescent="0.3">
      <c r="A99">
        <v>93</v>
      </c>
      <c r="B99" t="s">
        <v>54</v>
      </c>
      <c r="C99" s="1" t="s">
        <v>55</v>
      </c>
      <c r="D99" t="s">
        <v>56</v>
      </c>
      <c r="E99" t="s">
        <v>57</v>
      </c>
      <c r="G99">
        <v>110</v>
      </c>
      <c r="H99">
        <v>100</v>
      </c>
      <c r="I99">
        <v>10</v>
      </c>
      <c r="J99">
        <v>0</v>
      </c>
    </row>
    <row r="100" spans="1:10" x14ac:dyDescent="0.3">
      <c r="A100">
        <v>93</v>
      </c>
      <c r="B100" t="s">
        <v>274</v>
      </c>
      <c r="C100" s="1" t="s">
        <v>275</v>
      </c>
      <c r="D100" t="s">
        <v>60</v>
      </c>
      <c r="E100" t="s">
        <v>276</v>
      </c>
      <c r="G100">
        <v>110</v>
      </c>
      <c r="H100">
        <v>100</v>
      </c>
      <c r="I100">
        <v>10</v>
      </c>
      <c r="J100">
        <v>0</v>
      </c>
    </row>
    <row r="101" spans="1:10" x14ac:dyDescent="0.3">
      <c r="A101">
        <v>93</v>
      </c>
      <c r="B101" t="s">
        <v>488</v>
      </c>
      <c r="C101" s="1" t="s">
        <v>489</v>
      </c>
      <c r="D101" t="s">
        <v>362</v>
      </c>
      <c r="E101" t="s">
        <v>490</v>
      </c>
      <c r="G101">
        <v>110</v>
      </c>
      <c r="H101">
        <v>100</v>
      </c>
      <c r="I101">
        <v>10</v>
      </c>
      <c r="J101">
        <v>0</v>
      </c>
    </row>
    <row r="102" spans="1:10" x14ac:dyDescent="0.3">
      <c r="A102">
        <v>93</v>
      </c>
      <c r="B102" t="s">
        <v>320</v>
      </c>
      <c r="C102" s="1" t="s">
        <v>321</v>
      </c>
      <c r="D102" t="s">
        <v>52</v>
      </c>
      <c r="E102" t="s">
        <v>322</v>
      </c>
      <c r="G102">
        <v>110</v>
      </c>
      <c r="H102">
        <v>100</v>
      </c>
      <c r="I102">
        <v>10</v>
      </c>
      <c r="J102">
        <v>0</v>
      </c>
    </row>
    <row r="103" spans="1:10" x14ac:dyDescent="0.3">
      <c r="A103">
        <v>93</v>
      </c>
      <c r="B103" t="s">
        <v>479</v>
      </c>
      <c r="C103" s="1" t="s">
        <v>480</v>
      </c>
      <c r="D103" t="s">
        <v>81</v>
      </c>
      <c r="E103" t="s">
        <v>481</v>
      </c>
      <c r="G103">
        <v>110</v>
      </c>
      <c r="H103">
        <v>100</v>
      </c>
      <c r="I103">
        <v>0</v>
      </c>
      <c r="J103">
        <v>10</v>
      </c>
    </row>
    <row r="104" spans="1:10" x14ac:dyDescent="0.3">
      <c r="A104">
        <v>93</v>
      </c>
      <c r="B104" t="s">
        <v>299</v>
      </c>
      <c r="C104" s="1" t="s">
        <v>300</v>
      </c>
      <c r="D104" t="s">
        <v>301</v>
      </c>
      <c r="E104" t="s">
        <v>302</v>
      </c>
      <c r="G104">
        <v>110</v>
      </c>
      <c r="H104">
        <v>100</v>
      </c>
      <c r="I104">
        <v>10</v>
      </c>
      <c r="J104">
        <v>0</v>
      </c>
    </row>
    <row r="105" spans="1:10" x14ac:dyDescent="0.3">
      <c r="A105">
        <v>104</v>
      </c>
      <c r="B105" t="s">
        <v>409</v>
      </c>
      <c r="C105" s="1" t="s">
        <v>410</v>
      </c>
      <c r="D105" t="s">
        <v>16</v>
      </c>
      <c r="E105" t="s">
        <v>411</v>
      </c>
      <c r="G105">
        <v>106</v>
      </c>
      <c r="H105">
        <v>55</v>
      </c>
      <c r="I105">
        <v>10</v>
      </c>
      <c r="J105">
        <v>41</v>
      </c>
    </row>
    <row r="106" spans="1:10" x14ac:dyDescent="0.3">
      <c r="A106">
        <v>105</v>
      </c>
      <c r="B106" t="s">
        <v>293</v>
      </c>
      <c r="C106" s="1" t="s">
        <v>294</v>
      </c>
      <c r="D106" t="s">
        <v>216</v>
      </c>
      <c r="E106" t="s">
        <v>295</v>
      </c>
      <c r="G106">
        <v>104</v>
      </c>
      <c r="H106">
        <v>50</v>
      </c>
      <c r="I106">
        <v>40</v>
      </c>
      <c r="J106">
        <v>14</v>
      </c>
    </row>
    <row r="107" spans="1:10" x14ac:dyDescent="0.3">
      <c r="A107">
        <v>106</v>
      </c>
      <c r="B107" t="s">
        <v>423</v>
      </c>
      <c r="C107" s="1" t="s">
        <v>424</v>
      </c>
      <c r="D107" t="s">
        <v>425</v>
      </c>
      <c r="E107" t="s">
        <v>426</v>
      </c>
      <c r="G107">
        <v>100</v>
      </c>
      <c r="H107">
        <v>100</v>
      </c>
      <c r="I107">
        <v>0</v>
      </c>
      <c r="J107">
        <v>0</v>
      </c>
    </row>
    <row r="108" spans="1:10" x14ac:dyDescent="0.3">
      <c r="A108">
        <v>106</v>
      </c>
      <c r="B108" t="s">
        <v>237</v>
      </c>
      <c r="C108" s="1" t="s">
        <v>238</v>
      </c>
      <c r="D108" t="s">
        <v>216</v>
      </c>
      <c r="E108" t="s">
        <v>239</v>
      </c>
      <c r="G108">
        <v>100</v>
      </c>
      <c r="H108">
        <v>100</v>
      </c>
      <c r="I108">
        <v>0</v>
      </c>
      <c r="J108">
        <v>0</v>
      </c>
    </row>
    <row r="109" spans="1:10" x14ac:dyDescent="0.3">
      <c r="A109">
        <v>106</v>
      </c>
      <c r="B109" t="s">
        <v>266</v>
      </c>
      <c r="C109" s="1" t="s">
        <v>267</v>
      </c>
      <c r="D109" t="s">
        <v>178</v>
      </c>
      <c r="E109" t="s">
        <v>268</v>
      </c>
      <c r="G109">
        <v>100</v>
      </c>
      <c r="H109">
        <v>100</v>
      </c>
      <c r="I109">
        <v>0</v>
      </c>
      <c r="J109">
        <v>0</v>
      </c>
    </row>
    <row r="110" spans="1:10" x14ac:dyDescent="0.3">
      <c r="A110">
        <v>106</v>
      </c>
      <c r="B110" t="s">
        <v>519</v>
      </c>
      <c r="C110" s="1" t="s">
        <v>520</v>
      </c>
      <c r="D110" t="s">
        <v>521</v>
      </c>
      <c r="E110" t="s">
        <v>522</v>
      </c>
      <c r="G110">
        <v>100</v>
      </c>
      <c r="H110">
        <v>100</v>
      </c>
      <c r="I110">
        <v>0</v>
      </c>
      <c r="J110">
        <v>0</v>
      </c>
    </row>
    <row r="111" spans="1:10" x14ac:dyDescent="0.3">
      <c r="A111">
        <v>106</v>
      </c>
      <c r="B111" t="s">
        <v>157</v>
      </c>
      <c r="C111" s="1" t="s">
        <v>158</v>
      </c>
      <c r="D111" t="s">
        <v>81</v>
      </c>
      <c r="E111" t="s">
        <v>159</v>
      </c>
      <c r="G111">
        <v>100</v>
      </c>
      <c r="H111">
        <v>100</v>
      </c>
      <c r="I111">
        <v>0</v>
      </c>
      <c r="J111">
        <v>0</v>
      </c>
    </row>
    <row r="112" spans="1:10" x14ac:dyDescent="0.3">
      <c r="A112">
        <v>106</v>
      </c>
      <c r="B112" t="s">
        <v>208</v>
      </c>
      <c r="C112" s="1" t="s">
        <v>209</v>
      </c>
      <c r="D112" t="s">
        <v>16</v>
      </c>
      <c r="E112" t="s">
        <v>210</v>
      </c>
      <c r="G112">
        <v>100</v>
      </c>
      <c r="H112">
        <v>100</v>
      </c>
      <c r="I112">
        <v>0</v>
      </c>
      <c r="J112">
        <v>0</v>
      </c>
    </row>
    <row r="113" spans="1:10" x14ac:dyDescent="0.3">
      <c r="A113">
        <v>106</v>
      </c>
      <c r="B113" t="s">
        <v>36</v>
      </c>
      <c r="C113" s="1" t="s">
        <v>37</v>
      </c>
      <c r="D113" t="s">
        <v>16</v>
      </c>
      <c r="E113" t="s">
        <v>38</v>
      </c>
      <c r="G113">
        <v>100</v>
      </c>
      <c r="H113">
        <v>100</v>
      </c>
      <c r="I113">
        <v>0</v>
      </c>
      <c r="J113">
        <v>0</v>
      </c>
    </row>
    <row r="114" spans="1:10" x14ac:dyDescent="0.3">
      <c r="A114">
        <v>106</v>
      </c>
      <c r="B114" t="s">
        <v>263</v>
      </c>
      <c r="C114" s="1" t="s">
        <v>264</v>
      </c>
      <c r="D114" t="s">
        <v>147</v>
      </c>
      <c r="E114" t="s">
        <v>265</v>
      </c>
      <c r="G114">
        <v>100</v>
      </c>
      <c r="H114">
        <v>100</v>
      </c>
      <c r="I114">
        <v>0</v>
      </c>
      <c r="J114">
        <v>0</v>
      </c>
    </row>
    <row r="115" spans="1:10" x14ac:dyDescent="0.3">
      <c r="A115">
        <v>106</v>
      </c>
      <c r="B115" t="s">
        <v>348</v>
      </c>
      <c r="C115" s="1" t="s">
        <v>349</v>
      </c>
      <c r="D115" t="s">
        <v>81</v>
      </c>
      <c r="E115" t="s">
        <v>350</v>
      </c>
      <c r="G115">
        <v>100</v>
      </c>
      <c r="H115">
        <v>100</v>
      </c>
      <c r="I115">
        <v>0</v>
      </c>
      <c r="J115">
        <v>0</v>
      </c>
    </row>
    <row r="116" spans="1:10" x14ac:dyDescent="0.3">
      <c r="A116">
        <v>106</v>
      </c>
      <c r="B116" t="s">
        <v>269</v>
      </c>
      <c r="C116" s="1" t="s">
        <v>270</v>
      </c>
      <c r="D116" t="s">
        <v>81</v>
      </c>
      <c r="E116" t="s">
        <v>271</v>
      </c>
      <c r="G116">
        <v>100</v>
      </c>
      <c r="H116">
        <v>100</v>
      </c>
      <c r="I116">
        <v>0</v>
      </c>
      <c r="J116">
        <v>0</v>
      </c>
    </row>
    <row r="117" spans="1:10" x14ac:dyDescent="0.3">
      <c r="A117">
        <v>106</v>
      </c>
      <c r="B117" t="s">
        <v>249</v>
      </c>
      <c r="C117" s="1" t="s">
        <v>250</v>
      </c>
      <c r="D117" t="s">
        <v>191</v>
      </c>
      <c r="E117" t="s">
        <v>251</v>
      </c>
      <c r="G117">
        <v>100</v>
      </c>
      <c r="H117">
        <v>100</v>
      </c>
      <c r="I117">
        <v>0</v>
      </c>
      <c r="J117">
        <v>0</v>
      </c>
    </row>
    <row r="118" spans="1:10" x14ac:dyDescent="0.3">
      <c r="A118">
        <v>106</v>
      </c>
      <c r="B118" t="s">
        <v>536</v>
      </c>
      <c r="C118" s="1" t="s">
        <v>537</v>
      </c>
      <c r="D118" t="s">
        <v>191</v>
      </c>
      <c r="E118" t="s">
        <v>538</v>
      </c>
      <c r="G118">
        <v>100</v>
      </c>
      <c r="H118">
        <v>100</v>
      </c>
      <c r="I118">
        <v>0</v>
      </c>
      <c r="J118">
        <v>0</v>
      </c>
    </row>
    <row r="119" spans="1:10" x14ac:dyDescent="0.3">
      <c r="A119">
        <v>106</v>
      </c>
      <c r="B119" t="s">
        <v>485</v>
      </c>
      <c r="C119" s="1" t="s">
        <v>486</v>
      </c>
      <c r="D119" t="s">
        <v>89</v>
      </c>
      <c r="E119" t="s">
        <v>487</v>
      </c>
      <c r="G119">
        <v>100</v>
      </c>
      <c r="H119">
        <v>100</v>
      </c>
      <c r="I119">
        <v>0</v>
      </c>
      <c r="J119">
        <v>0</v>
      </c>
    </row>
    <row r="120" spans="1:10" x14ac:dyDescent="0.3">
      <c r="A120">
        <v>106</v>
      </c>
      <c r="B120" t="s">
        <v>453</v>
      </c>
      <c r="C120" s="1" t="s">
        <v>454</v>
      </c>
      <c r="D120" t="s">
        <v>81</v>
      </c>
      <c r="E120" t="s">
        <v>455</v>
      </c>
      <c r="G120">
        <v>100</v>
      </c>
      <c r="H120">
        <v>100</v>
      </c>
      <c r="I120">
        <v>0</v>
      </c>
      <c r="J120">
        <v>0</v>
      </c>
    </row>
    <row r="121" spans="1:10" x14ac:dyDescent="0.3">
      <c r="A121">
        <v>106</v>
      </c>
      <c r="B121" t="s">
        <v>412</v>
      </c>
      <c r="C121" s="1" t="s">
        <v>413</v>
      </c>
      <c r="D121" t="s">
        <v>414</v>
      </c>
      <c r="E121" t="s">
        <v>415</v>
      </c>
      <c r="G121">
        <v>100</v>
      </c>
      <c r="H121">
        <v>100</v>
      </c>
      <c r="I121">
        <v>0</v>
      </c>
      <c r="J121">
        <v>0</v>
      </c>
    </row>
    <row r="122" spans="1:10" x14ac:dyDescent="0.3">
      <c r="A122">
        <v>106</v>
      </c>
      <c r="B122" t="s">
        <v>231</v>
      </c>
      <c r="C122" s="1" t="s">
        <v>232</v>
      </c>
      <c r="D122" t="s">
        <v>20</v>
      </c>
      <c r="E122" t="s">
        <v>233</v>
      </c>
      <c r="G122">
        <v>100</v>
      </c>
      <c r="H122">
        <v>100</v>
      </c>
      <c r="I122">
        <v>0</v>
      </c>
      <c r="J122">
        <v>0</v>
      </c>
    </row>
    <row r="123" spans="1:10" x14ac:dyDescent="0.3">
      <c r="A123">
        <v>122</v>
      </c>
      <c r="B123" t="s">
        <v>476</v>
      </c>
      <c r="C123" s="1" t="s">
        <v>477</v>
      </c>
      <c r="D123" t="s">
        <v>81</v>
      </c>
      <c r="E123" t="s">
        <v>478</v>
      </c>
      <c r="G123">
        <v>91</v>
      </c>
      <c r="H123">
        <v>30</v>
      </c>
      <c r="I123">
        <v>0</v>
      </c>
      <c r="J123">
        <v>61</v>
      </c>
    </row>
    <row r="124" spans="1:10" x14ac:dyDescent="0.3">
      <c r="A124">
        <v>123</v>
      </c>
      <c r="B124" t="s">
        <v>436</v>
      </c>
      <c r="C124" s="1" t="s">
        <v>437</v>
      </c>
      <c r="D124" t="s">
        <v>438</v>
      </c>
      <c r="E124" t="s">
        <v>439</v>
      </c>
      <c r="G124">
        <v>85</v>
      </c>
      <c r="H124">
        <v>75</v>
      </c>
      <c r="I124">
        <v>10</v>
      </c>
      <c r="J124">
        <v>0</v>
      </c>
    </row>
    <row r="125" spans="1:10" x14ac:dyDescent="0.3">
      <c r="A125">
        <v>123</v>
      </c>
      <c r="B125" t="s">
        <v>377</v>
      </c>
      <c r="C125" s="1" t="s">
        <v>378</v>
      </c>
      <c r="D125" t="s">
        <v>379</v>
      </c>
      <c r="E125" t="s">
        <v>380</v>
      </c>
      <c r="G125">
        <v>85</v>
      </c>
      <c r="H125">
        <v>75</v>
      </c>
      <c r="I125">
        <v>10</v>
      </c>
      <c r="J125">
        <v>0</v>
      </c>
    </row>
    <row r="126" spans="1:10" x14ac:dyDescent="0.3">
      <c r="A126">
        <v>125</v>
      </c>
      <c r="B126" t="s">
        <v>149</v>
      </c>
      <c r="C126" s="1" t="s">
        <v>150</v>
      </c>
      <c r="D126" t="s">
        <v>151</v>
      </c>
      <c r="E126" t="s">
        <v>152</v>
      </c>
      <c r="G126">
        <v>70</v>
      </c>
      <c r="H126">
        <v>50</v>
      </c>
      <c r="I126">
        <v>20</v>
      </c>
      <c r="J126">
        <v>0</v>
      </c>
    </row>
    <row r="127" spans="1:10" x14ac:dyDescent="0.3">
      <c r="A127">
        <v>125</v>
      </c>
      <c r="B127" t="s">
        <v>510</v>
      </c>
      <c r="C127" s="1" t="s">
        <v>511</v>
      </c>
      <c r="D127" t="s">
        <v>425</v>
      </c>
      <c r="E127" t="s">
        <v>512</v>
      </c>
      <c r="G127">
        <v>70</v>
      </c>
      <c r="H127">
        <v>30</v>
      </c>
      <c r="I127">
        <v>40</v>
      </c>
      <c r="J127">
        <v>0</v>
      </c>
    </row>
    <row r="128" spans="1:10" x14ac:dyDescent="0.3">
      <c r="A128">
        <v>127</v>
      </c>
      <c r="B128" t="s">
        <v>199</v>
      </c>
      <c r="C128" s="1" t="s">
        <v>200</v>
      </c>
      <c r="D128" t="s">
        <v>28</v>
      </c>
      <c r="E128" t="s">
        <v>201</v>
      </c>
      <c r="G128">
        <v>65</v>
      </c>
      <c r="H128">
        <v>55</v>
      </c>
      <c r="I128">
        <v>10</v>
      </c>
      <c r="J128">
        <v>0</v>
      </c>
    </row>
    <row r="129" spans="1:10" x14ac:dyDescent="0.3">
      <c r="A129">
        <v>127</v>
      </c>
      <c r="B129" t="s">
        <v>466</v>
      </c>
      <c r="C129" s="1" t="s">
        <v>467</v>
      </c>
      <c r="D129" t="s">
        <v>48</v>
      </c>
      <c r="E129" t="s">
        <v>468</v>
      </c>
      <c r="G129">
        <v>65</v>
      </c>
      <c r="H129">
        <v>25</v>
      </c>
      <c r="I129">
        <v>0</v>
      </c>
      <c r="J129">
        <v>40</v>
      </c>
    </row>
    <row r="130" spans="1:10" x14ac:dyDescent="0.3">
      <c r="A130">
        <v>129</v>
      </c>
      <c r="B130" t="s">
        <v>403</v>
      </c>
      <c r="C130" s="1" t="s">
        <v>404</v>
      </c>
      <c r="D130" t="s">
        <v>28</v>
      </c>
      <c r="E130" t="s">
        <v>405</v>
      </c>
      <c r="G130">
        <v>64</v>
      </c>
      <c r="H130">
        <v>50</v>
      </c>
      <c r="I130">
        <v>0</v>
      </c>
      <c r="J130">
        <v>14</v>
      </c>
    </row>
    <row r="131" spans="1:10" x14ac:dyDescent="0.3">
      <c r="A131">
        <v>130</v>
      </c>
      <c r="B131" t="s">
        <v>563</v>
      </c>
      <c r="C131" s="1" t="s">
        <v>564</v>
      </c>
      <c r="D131" t="s">
        <v>216</v>
      </c>
      <c r="E131" t="s">
        <v>565</v>
      </c>
      <c r="G131">
        <v>55</v>
      </c>
      <c r="H131">
        <v>55</v>
      </c>
      <c r="I131">
        <v>0</v>
      </c>
      <c r="J131">
        <v>0</v>
      </c>
    </row>
    <row r="132" spans="1:10" x14ac:dyDescent="0.3">
      <c r="A132">
        <v>130</v>
      </c>
      <c r="B132" t="s">
        <v>456</v>
      </c>
      <c r="C132" s="1" t="s">
        <v>457</v>
      </c>
      <c r="D132" t="s">
        <v>178</v>
      </c>
      <c r="E132" t="s">
        <v>458</v>
      </c>
      <c r="G132">
        <v>55</v>
      </c>
      <c r="H132">
        <v>55</v>
      </c>
      <c r="I132">
        <v>0</v>
      </c>
      <c r="J132">
        <v>0</v>
      </c>
    </row>
    <row r="133" spans="1:10" x14ac:dyDescent="0.3">
      <c r="A133">
        <v>130</v>
      </c>
      <c r="B133" t="s">
        <v>240</v>
      </c>
      <c r="C133" s="1" t="s">
        <v>241</v>
      </c>
      <c r="D133" t="s">
        <v>108</v>
      </c>
      <c r="E133" t="s">
        <v>242</v>
      </c>
      <c r="G133">
        <v>55</v>
      </c>
      <c r="H133">
        <v>55</v>
      </c>
      <c r="I133">
        <v>0</v>
      </c>
      <c r="J133">
        <v>0</v>
      </c>
    </row>
    <row r="134" spans="1:10" x14ac:dyDescent="0.3">
      <c r="A134">
        <v>130</v>
      </c>
      <c r="B134" t="s">
        <v>560</v>
      </c>
      <c r="C134" s="1" t="s">
        <v>561</v>
      </c>
      <c r="D134" t="s">
        <v>216</v>
      </c>
      <c r="E134" t="s">
        <v>562</v>
      </c>
      <c r="G134">
        <v>55</v>
      </c>
      <c r="H134">
        <v>55</v>
      </c>
      <c r="I134">
        <v>0</v>
      </c>
      <c r="J134">
        <v>0</v>
      </c>
    </row>
    <row r="135" spans="1:10" x14ac:dyDescent="0.3">
      <c r="A135">
        <v>134</v>
      </c>
      <c r="B135" t="s">
        <v>381</v>
      </c>
      <c r="C135" s="1" t="s">
        <v>382</v>
      </c>
      <c r="D135" t="s">
        <v>383</v>
      </c>
      <c r="E135" t="s">
        <v>384</v>
      </c>
      <c r="G135">
        <v>50</v>
      </c>
      <c r="H135">
        <v>30</v>
      </c>
      <c r="I135">
        <v>20</v>
      </c>
      <c r="J135">
        <v>0</v>
      </c>
    </row>
    <row r="136" spans="1:10" x14ac:dyDescent="0.3">
      <c r="A136">
        <v>134</v>
      </c>
      <c r="B136" t="s">
        <v>416</v>
      </c>
      <c r="C136" s="1" t="s">
        <v>417</v>
      </c>
      <c r="D136" t="s">
        <v>418</v>
      </c>
      <c r="E136" t="s">
        <v>419</v>
      </c>
      <c r="G136">
        <v>50</v>
      </c>
      <c r="H136">
        <v>50</v>
      </c>
      <c r="I136">
        <v>0</v>
      </c>
      <c r="J136">
        <v>0</v>
      </c>
    </row>
    <row r="137" spans="1:10" x14ac:dyDescent="0.3">
      <c r="A137">
        <v>134</v>
      </c>
      <c r="B137" t="s">
        <v>357</v>
      </c>
      <c r="C137" s="1" t="s">
        <v>358</v>
      </c>
      <c r="D137" t="s">
        <v>68</v>
      </c>
      <c r="E137" t="s">
        <v>359</v>
      </c>
      <c r="G137">
        <v>50</v>
      </c>
      <c r="H137">
        <v>50</v>
      </c>
      <c r="I137">
        <v>0</v>
      </c>
      <c r="J137">
        <v>0</v>
      </c>
    </row>
    <row r="138" spans="1:10" x14ac:dyDescent="0.3">
      <c r="A138">
        <v>134</v>
      </c>
      <c r="B138" t="s">
        <v>131</v>
      </c>
      <c r="C138" s="1" t="s">
        <v>132</v>
      </c>
      <c r="D138" t="s">
        <v>133</v>
      </c>
      <c r="E138" t="s">
        <v>134</v>
      </c>
      <c r="G138">
        <v>50</v>
      </c>
      <c r="H138">
        <v>50</v>
      </c>
      <c r="I138">
        <v>0</v>
      </c>
      <c r="J138">
        <v>0</v>
      </c>
    </row>
    <row r="139" spans="1:10" x14ac:dyDescent="0.3">
      <c r="A139">
        <v>138</v>
      </c>
      <c r="B139" t="s">
        <v>307</v>
      </c>
      <c r="C139" s="1" t="s">
        <v>308</v>
      </c>
      <c r="D139" t="s">
        <v>52</v>
      </c>
      <c r="E139" t="s">
        <v>309</v>
      </c>
      <c r="G139">
        <v>44</v>
      </c>
      <c r="H139">
        <v>30</v>
      </c>
      <c r="I139">
        <v>0</v>
      </c>
      <c r="J139">
        <v>14</v>
      </c>
    </row>
    <row r="140" spans="1:10" x14ac:dyDescent="0.3">
      <c r="A140">
        <v>138</v>
      </c>
      <c r="B140" t="s">
        <v>391</v>
      </c>
      <c r="C140" s="1" t="s">
        <v>392</v>
      </c>
      <c r="D140" t="s">
        <v>178</v>
      </c>
      <c r="E140" t="s">
        <v>393</v>
      </c>
      <c r="G140">
        <v>44</v>
      </c>
      <c r="H140">
        <v>30</v>
      </c>
      <c r="I140">
        <v>0</v>
      </c>
      <c r="J140">
        <v>14</v>
      </c>
    </row>
    <row r="141" spans="1:10" x14ac:dyDescent="0.3">
      <c r="A141">
        <v>140</v>
      </c>
      <c r="B141" t="s">
        <v>500</v>
      </c>
      <c r="C141" s="1" t="s">
        <v>501</v>
      </c>
      <c r="D141" t="s">
        <v>502</v>
      </c>
      <c r="E141" t="s">
        <v>503</v>
      </c>
      <c r="G141">
        <v>40</v>
      </c>
      <c r="H141">
        <v>30</v>
      </c>
      <c r="I141">
        <v>10</v>
      </c>
      <c r="J141">
        <v>0</v>
      </c>
    </row>
    <row r="142" spans="1:10" x14ac:dyDescent="0.3">
      <c r="A142">
        <v>140</v>
      </c>
      <c r="B142" t="s">
        <v>323</v>
      </c>
      <c r="C142" s="1" t="s">
        <v>324</v>
      </c>
      <c r="D142" t="s">
        <v>178</v>
      </c>
      <c r="E142" t="s">
        <v>325</v>
      </c>
      <c r="G142">
        <v>40</v>
      </c>
      <c r="H142">
        <v>30</v>
      </c>
      <c r="I142">
        <v>10</v>
      </c>
      <c r="J142">
        <v>0</v>
      </c>
    </row>
    <row r="143" spans="1:10" x14ac:dyDescent="0.3">
      <c r="A143">
        <v>142</v>
      </c>
      <c r="B143" t="s">
        <v>494</v>
      </c>
      <c r="C143" s="1" t="s">
        <v>495</v>
      </c>
      <c r="D143" t="s">
        <v>178</v>
      </c>
      <c r="E143" t="s">
        <v>496</v>
      </c>
      <c r="G143">
        <v>30</v>
      </c>
      <c r="H143">
        <v>30</v>
      </c>
      <c r="I143">
        <v>0</v>
      </c>
      <c r="J143">
        <v>0</v>
      </c>
    </row>
    <row r="144" spans="1:10" x14ac:dyDescent="0.3">
      <c r="A144">
        <v>142</v>
      </c>
      <c r="B144" t="s">
        <v>566</v>
      </c>
      <c r="C144" s="1" t="s">
        <v>567</v>
      </c>
      <c r="D144" t="s">
        <v>568</v>
      </c>
      <c r="E144" t="s">
        <v>569</v>
      </c>
      <c r="G144">
        <v>30</v>
      </c>
      <c r="H144">
        <v>30</v>
      </c>
      <c r="I144">
        <v>0</v>
      </c>
      <c r="J144">
        <v>0</v>
      </c>
    </row>
    <row r="145" spans="1:10" x14ac:dyDescent="0.3">
      <c r="A145">
        <v>142</v>
      </c>
      <c r="B145" t="s">
        <v>516</v>
      </c>
      <c r="C145" s="1" t="s">
        <v>517</v>
      </c>
      <c r="D145" t="s">
        <v>442</v>
      </c>
      <c r="E145" t="s">
        <v>518</v>
      </c>
      <c r="G145">
        <v>30</v>
      </c>
      <c r="H145">
        <v>30</v>
      </c>
      <c r="I145">
        <v>0</v>
      </c>
      <c r="J145">
        <v>0</v>
      </c>
    </row>
    <row r="146" spans="1:10" x14ac:dyDescent="0.3">
      <c r="A146">
        <v>142</v>
      </c>
      <c r="B146" t="s">
        <v>450</v>
      </c>
      <c r="C146" s="1" t="s">
        <v>451</v>
      </c>
      <c r="D146" t="s">
        <v>305</v>
      </c>
      <c r="E146" t="s">
        <v>452</v>
      </c>
      <c r="G146">
        <v>30</v>
      </c>
      <c r="H146">
        <v>0</v>
      </c>
      <c r="I146">
        <v>30</v>
      </c>
      <c r="J146">
        <v>0</v>
      </c>
    </row>
    <row r="147" spans="1:10" x14ac:dyDescent="0.3">
      <c r="A147">
        <v>142</v>
      </c>
      <c r="B147" t="s">
        <v>546</v>
      </c>
      <c r="C147" s="1" t="s">
        <v>547</v>
      </c>
      <c r="D147" t="s">
        <v>548</v>
      </c>
      <c r="E147" t="s">
        <v>549</v>
      </c>
      <c r="G147">
        <v>30</v>
      </c>
      <c r="H147">
        <v>30</v>
      </c>
      <c r="I147">
        <v>0</v>
      </c>
      <c r="J147">
        <v>0</v>
      </c>
    </row>
    <row r="148" spans="1:10" x14ac:dyDescent="0.3">
      <c r="A148">
        <v>142</v>
      </c>
      <c r="B148" t="s">
        <v>447</v>
      </c>
      <c r="C148" s="1" t="s">
        <v>448</v>
      </c>
      <c r="D148" t="s">
        <v>81</v>
      </c>
      <c r="E148" t="s">
        <v>449</v>
      </c>
      <c r="G148">
        <v>30</v>
      </c>
      <c r="H148">
        <v>30</v>
      </c>
      <c r="I148">
        <v>0</v>
      </c>
      <c r="J148">
        <v>0</v>
      </c>
    </row>
    <row r="149" spans="1:10" x14ac:dyDescent="0.3">
      <c r="A149">
        <v>142</v>
      </c>
      <c r="B149" t="s">
        <v>523</v>
      </c>
      <c r="C149" s="1" t="s">
        <v>524</v>
      </c>
      <c r="D149" t="s">
        <v>89</v>
      </c>
      <c r="E149" t="s">
        <v>525</v>
      </c>
      <c r="G149">
        <v>30</v>
      </c>
      <c r="H149">
        <v>30</v>
      </c>
      <c r="I149">
        <v>0</v>
      </c>
      <c r="J149">
        <v>0</v>
      </c>
    </row>
    <row r="150" spans="1:10" x14ac:dyDescent="0.3">
      <c r="A150">
        <v>149</v>
      </c>
      <c r="B150" t="s">
        <v>440</v>
      </c>
      <c r="C150" s="1" t="s">
        <v>441</v>
      </c>
      <c r="D150" t="s">
        <v>442</v>
      </c>
      <c r="E150" t="s">
        <v>443</v>
      </c>
      <c r="G150">
        <v>25</v>
      </c>
      <c r="H150">
        <v>25</v>
      </c>
      <c r="I150">
        <v>0</v>
      </c>
      <c r="J150">
        <v>0</v>
      </c>
    </row>
    <row r="151" spans="1:10" x14ac:dyDescent="0.3">
      <c r="A151">
        <v>149</v>
      </c>
      <c r="B151" t="s">
        <v>504</v>
      </c>
      <c r="C151" s="1" t="s">
        <v>505</v>
      </c>
      <c r="D151" t="s">
        <v>178</v>
      </c>
      <c r="E151" t="s">
        <v>506</v>
      </c>
      <c r="G151">
        <v>25</v>
      </c>
      <c r="H151">
        <v>15</v>
      </c>
      <c r="I151">
        <v>10</v>
      </c>
      <c r="J151">
        <v>0</v>
      </c>
    </row>
    <row r="152" spans="1:10" x14ac:dyDescent="0.3">
      <c r="A152">
        <v>149</v>
      </c>
      <c r="B152" t="s">
        <v>394</v>
      </c>
      <c r="C152" s="1" t="s">
        <v>395</v>
      </c>
      <c r="D152" t="s">
        <v>178</v>
      </c>
      <c r="E152" t="s">
        <v>396</v>
      </c>
      <c r="G152">
        <v>25</v>
      </c>
      <c r="H152">
        <v>15</v>
      </c>
      <c r="I152">
        <v>10</v>
      </c>
      <c r="J152">
        <v>0</v>
      </c>
    </row>
    <row r="153" spans="1:10" x14ac:dyDescent="0.3">
      <c r="A153">
        <v>149</v>
      </c>
      <c r="B153" t="s">
        <v>469</v>
      </c>
      <c r="C153" s="1" t="s">
        <v>470</v>
      </c>
      <c r="D153" t="s">
        <v>471</v>
      </c>
      <c r="E153" t="s">
        <v>472</v>
      </c>
      <c r="G153">
        <v>25</v>
      </c>
      <c r="H153">
        <v>15</v>
      </c>
      <c r="I153">
        <v>10</v>
      </c>
      <c r="J153">
        <v>0</v>
      </c>
    </row>
    <row r="154" spans="1:10" x14ac:dyDescent="0.3">
      <c r="A154">
        <v>149</v>
      </c>
      <c r="B154" t="s">
        <v>550</v>
      </c>
      <c r="C154" s="1" t="s">
        <v>551</v>
      </c>
      <c r="D154" t="s">
        <v>223</v>
      </c>
      <c r="E154" t="s">
        <v>552</v>
      </c>
      <c r="G154">
        <v>25</v>
      </c>
      <c r="H154">
        <v>25</v>
      </c>
      <c r="I154">
        <v>0</v>
      </c>
      <c r="J154">
        <v>0</v>
      </c>
    </row>
    <row r="155" spans="1:10" x14ac:dyDescent="0.3">
      <c r="A155">
        <v>154</v>
      </c>
      <c r="B155" t="s">
        <v>557</v>
      </c>
      <c r="C155" s="1" t="s">
        <v>558</v>
      </c>
      <c r="D155" t="s">
        <v>216</v>
      </c>
      <c r="E155" t="s">
        <v>559</v>
      </c>
      <c r="G155">
        <v>15</v>
      </c>
      <c r="H155">
        <v>15</v>
      </c>
      <c r="I155">
        <v>0</v>
      </c>
      <c r="J155">
        <v>0</v>
      </c>
    </row>
    <row r="156" spans="1:10" x14ac:dyDescent="0.3">
      <c r="A156">
        <v>154</v>
      </c>
      <c r="B156" t="s">
        <v>463</v>
      </c>
      <c r="C156" s="1" t="s">
        <v>464</v>
      </c>
      <c r="D156" t="s">
        <v>191</v>
      </c>
      <c r="E156" t="s">
        <v>465</v>
      </c>
      <c r="G156">
        <v>15</v>
      </c>
      <c r="H156">
        <v>15</v>
      </c>
      <c r="I156">
        <v>0</v>
      </c>
      <c r="J156">
        <v>0</v>
      </c>
    </row>
    <row r="157" spans="1:10" x14ac:dyDescent="0.3">
      <c r="A157">
        <v>156</v>
      </c>
      <c r="B157" t="s">
        <v>420</v>
      </c>
      <c r="C157" s="1" t="s">
        <v>421</v>
      </c>
      <c r="D157" t="s">
        <v>305</v>
      </c>
      <c r="E157" t="s">
        <v>422</v>
      </c>
      <c r="G157">
        <v>13</v>
      </c>
      <c r="H157">
        <v>0</v>
      </c>
      <c r="I157">
        <v>0</v>
      </c>
      <c r="J157">
        <v>13</v>
      </c>
    </row>
    <row r="158" spans="1:10" x14ac:dyDescent="0.3">
      <c r="A158">
        <v>157</v>
      </c>
      <c r="B158" t="s">
        <v>575</v>
      </c>
      <c r="C158" s="1" t="s">
        <v>576</v>
      </c>
      <c r="D158" t="s">
        <v>577</v>
      </c>
      <c r="E158" t="s">
        <v>578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>
        <v>157</v>
      </c>
      <c r="B159" t="s">
        <v>303</v>
      </c>
      <c r="C159" s="1" t="s">
        <v>304</v>
      </c>
      <c r="D159" t="s">
        <v>305</v>
      </c>
      <c r="E159" t="s">
        <v>306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>
        <v>157</v>
      </c>
      <c r="B160" t="s">
        <v>507</v>
      </c>
      <c r="C160" s="1" t="s">
        <v>508</v>
      </c>
      <c r="D160" t="s">
        <v>16</v>
      </c>
      <c r="E160" t="s">
        <v>509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>
        <v>157</v>
      </c>
      <c r="B161" t="s">
        <v>585</v>
      </c>
      <c r="C161" s="1" t="s">
        <v>586</v>
      </c>
      <c r="D161" t="s">
        <v>81</v>
      </c>
      <c r="E161" t="s">
        <v>587</v>
      </c>
      <c r="G161">
        <v>0</v>
      </c>
      <c r="H161">
        <v>0</v>
      </c>
      <c r="I161">
        <v>0</v>
      </c>
      <c r="J161">
        <v>0</v>
      </c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  <hyperlink ref="C24" r:id="rId23" xr:uid="{00000000-0004-0000-0600-000016000000}"/>
    <hyperlink ref="C25" r:id="rId24" xr:uid="{00000000-0004-0000-0600-000017000000}"/>
    <hyperlink ref="C26" r:id="rId25" xr:uid="{00000000-0004-0000-0600-000018000000}"/>
    <hyperlink ref="C27" r:id="rId26" xr:uid="{00000000-0004-0000-0600-000019000000}"/>
    <hyperlink ref="C28" r:id="rId27" xr:uid="{00000000-0004-0000-0600-00001A000000}"/>
    <hyperlink ref="C29" r:id="rId28" xr:uid="{00000000-0004-0000-0600-00001B000000}"/>
    <hyperlink ref="C30" r:id="rId29" xr:uid="{00000000-0004-0000-0600-00001C000000}"/>
    <hyperlink ref="C31" r:id="rId30" xr:uid="{00000000-0004-0000-0600-00001D000000}"/>
    <hyperlink ref="C32" r:id="rId31" xr:uid="{00000000-0004-0000-0600-00001E000000}"/>
    <hyperlink ref="C33" r:id="rId32" xr:uid="{00000000-0004-0000-0600-00001F000000}"/>
    <hyperlink ref="C34" r:id="rId33" xr:uid="{00000000-0004-0000-0600-000020000000}"/>
    <hyperlink ref="C35" r:id="rId34" xr:uid="{00000000-0004-0000-0600-000021000000}"/>
    <hyperlink ref="C36" r:id="rId35" xr:uid="{00000000-0004-0000-0600-000022000000}"/>
    <hyperlink ref="C37" r:id="rId36" xr:uid="{00000000-0004-0000-0600-000023000000}"/>
    <hyperlink ref="C38" r:id="rId37" xr:uid="{00000000-0004-0000-0600-000024000000}"/>
    <hyperlink ref="C39" r:id="rId38" xr:uid="{00000000-0004-0000-0600-000025000000}"/>
    <hyperlink ref="C40" r:id="rId39" xr:uid="{00000000-0004-0000-0600-000026000000}"/>
    <hyperlink ref="C41" r:id="rId40" xr:uid="{00000000-0004-0000-0600-000027000000}"/>
    <hyperlink ref="C42" r:id="rId41" xr:uid="{00000000-0004-0000-0600-000028000000}"/>
    <hyperlink ref="C43" r:id="rId42" xr:uid="{00000000-0004-0000-0600-000029000000}"/>
    <hyperlink ref="C44" r:id="rId43" xr:uid="{00000000-0004-0000-0600-00002A000000}"/>
    <hyperlink ref="C45" r:id="rId44" xr:uid="{00000000-0004-0000-0600-00002B000000}"/>
    <hyperlink ref="C46" r:id="rId45" xr:uid="{00000000-0004-0000-0600-00002C000000}"/>
    <hyperlink ref="C47" r:id="rId46" xr:uid="{00000000-0004-0000-0600-00002D000000}"/>
    <hyperlink ref="C48" r:id="rId47" xr:uid="{00000000-0004-0000-0600-00002E000000}"/>
    <hyperlink ref="C49" r:id="rId48" xr:uid="{00000000-0004-0000-0600-00002F000000}"/>
    <hyperlink ref="C50" r:id="rId49" xr:uid="{00000000-0004-0000-0600-000030000000}"/>
    <hyperlink ref="C51" r:id="rId50" xr:uid="{00000000-0004-0000-0600-000031000000}"/>
    <hyperlink ref="C52" r:id="rId51" xr:uid="{00000000-0004-0000-0600-000032000000}"/>
    <hyperlink ref="C53" r:id="rId52" xr:uid="{00000000-0004-0000-0600-000033000000}"/>
    <hyperlink ref="C54" r:id="rId53" xr:uid="{00000000-0004-0000-0600-000034000000}"/>
    <hyperlink ref="C55" r:id="rId54" xr:uid="{00000000-0004-0000-0600-000035000000}"/>
    <hyperlink ref="C56" r:id="rId55" xr:uid="{00000000-0004-0000-0600-000036000000}"/>
    <hyperlink ref="C57" r:id="rId56" xr:uid="{00000000-0004-0000-0600-000037000000}"/>
    <hyperlink ref="C58" r:id="rId57" xr:uid="{00000000-0004-0000-0600-000038000000}"/>
    <hyperlink ref="C59" r:id="rId58" xr:uid="{00000000-0004-0000-0600-000039000000}"/>
    <hyperlink ref="C60" r:id="rId59" xr:uid="{00000000-0004-0000-0600-00003A000000}"/>
    <hyperlink ref="C61" r:id="rId60" xr:uid="{00000000-0004-0000-0600-00003B000000}"/>
    <hyperlink ref="C62" r:id="rId61" xr:uid="{00000000-0004-0000-0600-00003C000000}"/>
    <hyperlink ref="C63" r:id="rId62" xr:uid="{00000000-0004-0000-0600-00003D000000}"/>
    <hyperlink ref="C64" r:id="rId63" xr:uid="{00000000-0004-0000-0600-00003E000000}"/>
    <hyperlink ref="C65" r:id="rId64" xr:uid="{00000000-0004-0000-0600-00003F000000}"/>
    <hyperlink ref="C66" r:id="rId65" xr:uid="{00000000-0004-0000-0600-000040000000}"/>
    <hyperlink ref="C67" r:id="rId66" xr:uid="{00000000-0004-0000-0600-000041000000}"/>
    <hyperlink ref="C68" r:id="rId67" xr:uid="{00000000-0004-0000-0600-000042000000}"/>
    <hyperlink ref="C69" r:id="rId68" xr:uid="{00000000-0004-0000-0600-000043000000}"/>
    <hyperlink ref="C70" r:id="rId69" xr:uid="{00000000-0004-0000-0600-000044000000}"/>
    <hyperlink ref="C71" r:id="rId70" xr:uid="{00000000-0004-0000-0600-000045000000}"/>
    <hyperlink ref="C72" r:id="rId71" xr:uid="{00000000-0004-0000-0600-000046000000}"/>
    <hyperlink ref="C73" r:id="rId72" xr:uid="{00000000-0004-0000-0600-000047000000}"/>
    <hyperlink ref="C74" r:id="rId73" xr:uid="{00000000-0004-0000-0600-000048000000}"/>
    <hyperlink ref="C75" r:id="rId74" xr:uid="{00000000-0004-0000-0600-000049000000}"/>
    <hyperlink ref="C76" r:id="rId75" xr:uid="{00000000-0004-0000-0600-00004A000000}"/>
    <hyperlink ref="C77" r:id="rId76" xr:uid="{00000000-0004-0000-0600-00004B000000}"/>
    <hyperlink ref="C78" r:id="rId77" xr:uid="{00000000-0004-0000-0600-00004C000000}"/>
    <hyperlink ref="C79" r:id="rId78" xr:uid="{00000000-0004-0000-0600-00004D000000}"/>
    <hyperlink ref="C80" r:id="rId79" xr:uid="{00000000-0004-0000-0600-00004E000000}"/>
    <hyperlink ref="C81" r:id="rId80" xr:uid="{00000000-0004-0000-0600-00004F000000}"/>
    <hyperlink ref="C82" r:id="rId81" xr:uid="{00000000-0004-0000-0600-000050000000}"/>
    <hyperlink ref="C83" r:id="rId82" xr:uid="{00000000-0004-0000-0600-000051000000}"/>
    <hyperlink ref="C84" r:id="rId83" xr:uid="{00000000-0004-0000-0600-000052000000}"/>
    <hyperlink ref="C85" r:id="rId84" xr:uid="{00000000-0004-0000-0600-000053000000}"/>
    <hyperlink ref="C86" r:id="rId85" xr:uid="{00000000-0004-0000-0600-000054000000}"/>
    <hyperlink ref="C87" r:id="rId86" xr:uid="{00000000-0004-0000-0600-000055000000}"/>
    <hyperlink ref="C88" r:id="rId87" xr:uid="{00000000-0004-0000-0600-000056000000}"/>
    <hyperlink ref="C89" r:id="rId88" xr:uid="{00000000-0004-0000-0600-000057000000}"/>
    <hyperlink ref="C90" r:id="rId89" xr:uid="{00000000-0004-0000-0600-000058000000}"/>
    <hyperlink ref="C91" r:id="rId90" xr:uid="{00000000-0004-0000-0600-000059000000}"/>
    <hyperlink ref="C92" r:id="rId91" xr:uid="{00000000-0004-0000-0600-00005A000000}"/>
    <hyperlink ref="C93" r:id="rId92" xr:uid="{00000000-0004-0000-0600-00005B000000}"/>
    <hyperlink ref="C94" r:id="rId93" xr:uid="{00000000-0004-0000-0600-00005C000000}"/>
    <hyperlink ref="C95" r:id="rId94" xr:uid="{00000000-0004-0000-0600-00005D000000}"/>
    <hyperlink ref="C96" r:id="rId95" xr:uid="{00000000-0004-0000-0600-00005E000000}"/>
    <hyperlink ref="C97" r:id="rId96" xr:uid="{00000000-0004-0000-0600-00005F000000}"/>
    <hyperlink ref="C98" r:id="rId97" xr:uid="{00000000-0004-0000-0600-000060000000}"/>
    <hyperlink ref="C99" r:id="rId98" xr:uid="{00000000-0004-0000-0600-000061000000}"/>
    <hyperlink ref="C100" r:id="rId99" xr:uid="{00000000-0004-0000-0600-000062000000}"/>
    <hyperlink ref="C101" r:id="rId100" xr:uid="{00000000-0004-0000-0600-000063000000}"/>
    <hyperlink ref="C102" r:id="rId101" xr:uid="{00000000-0004-0000-0600-000064000000}"/>
    <hyperlink ref="C103" r:id="rId102" xr:uid="{00000000-0004-0000-0600-000065000000}"/>
    <hyperlink ref="C104" r:id="rId103" xr:uid="{00000000-0004-0000-0600-000066000000}"/>
    <hyperlink ref="C105" r:id="rId104" xr:uid="{00000000-0004-0000-0600-000067000000}"/>
    <hyperlink ref="C106" r:id="rId105" xr:uid="{00000000-0004-0000-0600-000068000000}"/>
    <hyperlink ref="C107" r:id="rId106" xr:uid="{00000000-0004-0000-0600-000069000000}"/>
    <hyperlink ref="C108" r:id="rId107" xr:uid="{00000000-0004-0000-0600-00006A000000}"/>
    <hyperlink ref="C109" r:id="rId108" xr:uid="{00000000-0004-0000-0600-00006B000000}"/>
    <hyperlink ref="C110" r:id="rId109" xr:uid="{00000000-0004-0000-0600-00006C000000}"/>
    <hyperlink ref="C111" r:id="rId110" xr:uid="{00000000-0004-0000-0600-00006D000000}"/>
    <hyperlink ref="C112" r:id="rId111" xr:uid="{00000000-0004-0000-0600-00006E000000}"/>
    <hyperlink ref="C113" r:id="rId112" xr:uid="{00000000-0004-0000-0600-00006F000000}"/>
    <hyperlink ref="C114" r:id="rId113" xr:uid="{00000000-0004-0000-0600-000070000000}"/>
    <hyperlink ref="C115" r:id="rId114" xr:uid="{00000000-0004-0000-0600-000071000000}"/>
    <hyperlink ref="C116" r:id="rId115" xr:uid="{00000000-0004-0000-0600-000072000000}"/>
    <hyperlink ref="C117" r:id="rId116" xr:uid="{00000000-0004-0000-0600-000073000000}"/>
    <hyperlink ref="C118" r:id="rId117" xr:uid="{00000000-0004-0000-0600-000074000000}"/>
    <hyperlink ref="C119" r:id="rId118" xr:uid="{00000000-0004-0000-0600-000075000000}"/>
    <hyperlink ref="C120" r:id="rId119" xr:uid="{00000000-0004-0000-0600-000076000000}"/>
    <hyperlink ref="C121" r:id="rId120" xr:uid="{00000000-0004-0000-0600-000077000000}"/>
    <hyperlink ref="C122" r:id="rId121" xr:uid="{00000000-0004-0000-0600-000078000000}"/>
    <hyperlink ref="C123" r:id="rId122" xr:uid="{00000000-0004-0000-0600-000079000000}"/>
    <hyperlink ref="C124" r:id="rId123" xr:uid="{00000000-0004-0000-0600-00007A000000}"/>
    <hyperlink ref="C125" r:id="rId124" xr:uid="{00000000-0004-0000-0600-00007B000000}"/>
    <hyperlink ref="C126" r:id="rId125" xr:uid="{00000000-0004-0000-0600-00007C000000}"/>
    <hyperlink ref="C127" r:id="rId126" xr:uid="{00000000-0004-0000-0600-00007D000000}"/>
    <hyperlink ref="C128" r:id="rId127" xr:uid="{00000000-0004-0000-0600-00007E000000}"/>
    <hyperlink ref="C129" r:id="rId128" xr:uid="{00000000-0004-0000-0600-00007F000000}"/>
    <hyperlink ref="C130" r:id="rId129" xr:uid="{00000000-0004-0000-0600-000080000000}"/>
    <hyperlink ref="C131" r:id="rId130" xr:uid="{00000000-0004-0000-0600-000081000000}"/>
    <hyperlink ref="C132" r:id="rId131" xr:uid="{00000000-0004-0000-0600-000082000000}"/>
    <hyperlink ref="C133" r:id="rId132" xr:uid="{00000000-0004-0000-0600-000083000000}"/>
    <hyperlink ref="C134" r:id="rId133" xr:uid="{00000000-0004-0000-0600-000084000000}"/>
    <hyperlink ref="C135" r:id="rId134" xr:uid="{00000000-0004-0000-0600-000085000000}"/>
    <hyperlink ref="C136" r:id="rId135" xr:uid="{00000000-0004-0000-0600-000086000000}"/>
    <hyperlink ref="C137" r:id="rId136" xr:uid="{00000000-0004-0000-0600-000087000000}"/>
    <hyperlink ref="C138" r:id="rId137" xr:uid="{00000000-0004-0000-0600-000088000000}"/>
    <hyperlink ref="C139" r:id="rId138" xr:uid="{00000000-0004-0000-0600-000089000000}"/>
    <hyperlink ref="C140" r:id="rId139" xr:uid="{00000000-0004-0000-0600-00008A000000}"/>
    <hyperlink ref="C141" r:id="rId140" xr:uid="{00000000-0004-0000-0600-00008B000000}"/>
    <hyperlink ref="C142" r:id="rId141" xr:uid="{00000000-0004-0000-0600-00008C000000}"/>
    <hyperlink ref="C143" r:id="rId142" xr:uid="{00000000-0004-0000-0600-00008D000000}"/>
    <hyperlink ref="C144" r:id="rId143" xr:uid="{00000000-0004-0000-0600-00008E000000}"/>
    <hyperlink ref="C145" r:id="rId144" xr:uid="{00000000-0004-0000-0600-00008F000000}"/>
    <hyperlink ref="C146" r:id="rId145" xr:uid="{00000000-0004-0000-0600-000090000000}"/>
    <hyperlink ref="C147" r:id="rId146" xr:uid="{00000000-0004-0000-0600-000091000000}"/>
    <hyperlink ref="C148" r:id="rId147" xr:uid="{00000000-0004-0000-0600-000092000000}"/>
    <hyperlink ref="C149" r:id="rId148" xr:uid="{00000000-0004-0000-0600-000093000000}"/>
    <hyperlink ref="C150" r:id="rId149" xr:uid="{00000000-0004-0000-0600-000094000000}"/>
    <hyperlink ref="C151" r:id="rId150" xr:uid="{00000000-0004-0000-0600-000095000000}"/>
    <hyperlink ref="C152" r:id="rId151" xr:uid="{00000000-0004-0000-0600-000096000000}"/>
    <hyperlink ref="C153" r:id="rId152" xr:uid="{00000000-0004-0000-0600-000097000000}"/>
    <hyperlink ref="C154" r:id="rId153" xr:uid="{00000000-0004-0000-0600-000098000000}"/>
    <hyperlink ref="C155" r:id="rId154" xr:uid="{00000000-0004-0000-0600-000099000000}"/>
    <hyperlink ref="C156" r:id="rId155" xr:uid="{00000000-0004-0000-0600-00009A000000}"/>
    <hyperlink ref="C157" r:id="rId156" xr:uid="{00000000-0004-0000-0600-00009B000000}"/>
    <hyperlink ref="C158" r:id="rId157" xr:uid="{00000000-0004-0000-0600-00009C000000}"/>
    <hyperlink ref="C159" r:id="rId158" xr:uid="{00000000-0004-0000-0600-00009D000000}"/>
    <hyperlink ref="C160" r:id="rId159" xr:uid="{00000000-0004-0000-0600-00009E000000}"/>
    <hyperlink ref="C161" r:id="rId160" xr:uid="{00000000-0004-0000-0600-00009F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3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596</v>
      </c>
      <c r="I1" t="s">
        <v>597</v>
      </c>
      <c r="J1" t="s">
        <v>598</v>
      </c>
    </row>
    <row r="2" spans="1:10" x14ac:dyDescent="0.3">
      <c r="A2">
        <v>1</v>
      </c>
      <c r="B2" t="s">
        <v>193</v>
      </c>
      <c r="C2" s="1" t="s">
        <v>194</v>
      </c>
      <c r="D2" t="s">
        <v>60</v>
      </c>
      <c r="E2" t="s">
        <v>195</v>
      </c>
      <c r="G2">
        <v>260</v>
      </c>
      <c r="H2">
        <v>100</v>
      </c>
      <c r="I2">
        <v>100</v>
      </c>
      <c r="J2">
        <v>60</v>
      </c>
    </row>
    <row r="3" spans="1:10" x14ac:dyDescent="0.3">
      <c r="A3">
        <v>2</v>
      </c>
      <c r="B3" t="s">
        <v>58</v>
      </c>
      <c r="C3" s="1" t="s">
        <v>59</v>
      </c>
      <c r="D3" t="s">
        <v>60</v>
      </c>
      <c r="E3" t="s">
        <v>61</v>
      </c>
      <c r="G3">
        <v>250</v>
      </c>
      <c r="H3">
        <v>100</v>
      </c>
      <c r="I3">
        <v>100</v>
      </c>
      <c r="J3">
        <v>50</v>
      </c>
    </row>
    <row r="4" spans="1:10" x14ac:dyDescent="0.3">
      <c r="A4">
        <v>3</v>
      </c>
      <c r="B4" t="s">
        <v>252</v>
      </c>
      <c r="C4" s="1" t="s">
        <v>253</v>
      </c>
      <c r="D4" t="s">
        <v>254</v>
      </c>
      <c r="E4" t="s">
        <v>255</v>
      </c>
      <c r="F4" t="s">
        <v>252</v>
      </c>
      <c r="G4">
        <v>225</v>
      </c>
      <c r="H4">
        <v>100</v>
      </c>
      <c r="I4">
        <v>100</v>
      </c>
      <c r="J4">
        <v>25</v>
      </c>
    </row>
    <row r="5" spans="1:10" x14ac:dyDescent="0.3">
      <c r="A5">
        <v>4</v>
      </c>
      <c r="B5" t="s">
        <v>10</v>
      </c>
      <c r="C5" s="1" t="s">
        <v>11</v>
      </c>
      <c r="D5" t="s">
        <v>12</v>
      </c>
      <c r="E5" t="s">
        <v>13</v>
      </c>
      <c r="G5">
        <v>215</v>
      </c>
      <c r="H5">
        <v>100</v>
      </c>
      <c r="I5">
        <v>100</v>
      </c>
      <c r="J5">
        <v>15</v>
      </c>
    </row>
    <row r="6" spans="1:10" x14ac:dyDescent="0.3">
      <c r="A6">
        <v>5</v>
      </c>
      <c r="B6" t="s">
        <v>66</v>
      </c>
      <c r="C6" s="1" t="s">
        <v>67</v>
      </c>
      <c r="D6" t="s">
        <v>68</v>
      </c>
      <c r="E6" t="s">
        <v>69</v>
      </c>
      <c r="G6">
        <v>210</v>
      </c>
      <c r="H6">
        <v>100</v>
      </c>
      <c r="I6">
        <v>100</v>
      </c>
      <c r="J6">
        <v>10</v>
      </c>
    </row>
    <row r="7" spans="1:10" x14ac:dyDescent="0.3">
      <c r="A7">
        <v>5</v>
      </c>
      <c r="B7" t="s">
        <v>33</v>
      </c>
      <c r="C7" s="1" t="s">
        <v>34</v>
      </c>
      <c r="D7" t="s">
        <v>16</v>
      </c>
      <c r="E7" t="s">
        <v>35</v>
      </c>
      <c r="G7">
        <v>210</v>
      </c>
      <c r="H7">
        <v>100</v>
      </c>
      <c r="I7">
        <v>65</v>
      </c>
      <c r="J7">
        <v>45</v>
      </c>
    </row>
    <row r="8" spans="1:10" x14ac:dyDescent="0.3">
      <c r="A8">
        <v>5</v>
      </c>
      <c r="B8" t="s">
        <v>290</v>
      </c>
      <c r="C8" s="1" t="s">
        <v>291</v>
      </c>
      <c r="D8" t="s">
        <v>81</v>
      </c>
      <c r="E8" t="s">
        <v>292</v>
      </c>
      <c r="G8">
        <v>210</v>
      </c>
      <c r="H8">
        <v>100</v>
      </c>
      <c r="I8">
        <v>65</v>
      </c>
      <c r="J8">
        <v>45</v>
      </c>
    </row>
    <row r="9" spans="1:10" x14ac:dyDescent="0.3">
      <c r="A9">
        <v>8</v>
      </c>
      <c r="B9" t="s">
        <v>141</v>
      </c>
      <c r="C9" s="1" t="s">
        <v>142</v>
      </c>
      <c r="D9" t="s">
        <v>143</v>
      </c>
      <c r="E9" t="s">
        <v>144</v>
      </c>
      <c r="G9">
        <v>200</v>
      </c>
      <c r="H9">
        <v>100</v>
      </c>
      <c r="I9">
        <v>65</v>
      </c>
      <c r="J9">
        <v>35</v>
      </c>
    </row>
    <row r="10" spans="1:10" x14ac:dyDescent="0.3">
      <c r="A10">
        <v>8</v>
      </c>
      <c r="B10" t="s">
        <v>50</v>
      </c>
      <c r="C10" s="1" t="s">
        <v>51</v>
      </c>
      <c r="D10" t="s">
        <v>52</v>
      </c>
      <c r="E10" t="s">
        <v>53</v>
      </c>
      <c r="G10">
        <v>200</v>
      </c>
      <c r="H10">
        <v>100</v>
      </c>
      <c r="I10">
        <v>65</v>
      </c>
      <c r="J10">
        <v>35</v>
      </c>
    </row>
    <row r="11" spans="1:10" x14ac:dyDescent="0.3">
      <c r="A11">
        <v>8</v>
      </c>
      <c r="B11" t="s">
        <v>39</v>
      </c>
      <c r="C11" s="1" t="s">
        <v>40</v>
      </c>
      <c r="D11" t="s">
        <v>41</v>
      </c>
      <c r="E11" t="s">
        <v>42</v>
      </c>
      <c r="G11">
        <v>200</v>
      </c>
      <c r="H11">
        <v>100</v>
      </c>
      <c r="I11">
        <v>100</v>
      </c>
      <c r="J11">
        <v>0</v>
      </c>
    </row>
    <row r="12" spans="1:10" x14ac:dyDescent="0.3">
      <c r="A12">
        <v>11</v>
      </c>
      <c r="B12" t="s">
        <v>43</v>
      </c>
      <c r="C12" s="1" t="s">
        <v>44</v>
      </c>
      <c r="D12" t="s">
        <v>24</v>
      </c>
      <c r="E12" t="s">
        <v>45</v>
      </c>
      <c r="G12">
        <v>185</v>
      </c>
      <c r="H12">
        <v>100</v>
      </c>
      <c r="I12">
        <v>65</v>
      </c>
      <c r="J12">
        <v>20</v>
      </c>
    </row>
    <row r="13" spans="1:10" x14ac:dyDescent="0.3">
      <c r="A13">
        <v>12</v>
      </c>
      <c r="B13" t="s">
        <v>14</v>
      </c>
      <c r="C13" s="1" t="s">
        <v>15</v>
      </c>
      <c r="D13" t="s">
        <v>16</v>
      </c>
      <c r="E13" t="s">
        <v>17</v>
      </c>
      <c r="G13">
        <v>180</v>
      </c>
      <c r="H13">
        <v>100</v>
      </c>
      <c r="I13">
        <v>65</v>
      </c>
      <c r="J13">
        <v>15</v>
      </c>
    </row>
    <row r="14" spans="1:10" x14ac:dyDescent="0.3">
      <c r="A14">
        <v>12</v>
      </c>
      <c r="B14" t="s">
        <v>79</v>
      </c>
      <c r="C14" s="1" t="s">
        <v>80</v>
      </c>
      <c r="D14" t="s">
        <v>81</v>
      </c>
      <c r="E14" t="s">
        <v>82</v>
      </c>
      <c r="G14">
        <v>180</v>
      </c>
      <c r="H14">
        <v>100</v>
      </c>
      <c r="I14">
        <v>65</v>
      </c>
      <c r="J14">
        <v>15</v>
      </c>
    </row>
    <row r="15" spans="1:10" x14ac:dyDescent="0.3">
      <c r="A15">
        <v>14</v>
      </c>
      <c r="B15" t="s">
        <v>83</v>
      </c>
      <c r="C15" s="1" t="s">
        <v>84</v>
      </c>
      <c r="D15" t="s">
        <v>85</v>
      </c>
      <c r="E15" t="s">
        <v>86</v>
      </c>
      <c r="G15">
        <v>170</v>
      </c>
      <c r="H15">
        <v>100</v>
      </c>
      <c r="I15">
        <v>70</v>
      </c>
      <c r="J15">
        <v>0</v>
      </c>
    </row>
    <row r="16" spans="1:10" x14ac:dyDescent="0.3">
      <c r="A16">
        <v>15</v>
      </c>
      <c r="B16" t="s">
        <v>91</v>
      </c>
      <c r="C16" s="1" t="s">
        <v>92</v>
      </c>
      <c r="D16" t="s">
        <v>12</v>
      </c>
      <c r="E16" t="s">
        <v>93</v>
      </c>
      <c r="G16">
        <v>165</v>
      </c>
      <c r="H16">
        <v>100</v>
      </c>
      <c r="I16">
        <v>65</v>
      </c>
      <c r="J16">
        <v>0</v>
      </c>
    </row>
    <row r="17" spans="1:10" x14ac:dyDescent="0.3">
      <c r="A17">
        <v>15</v>
      </c>
      <c r="B17" t="s">
        <v>54</v>
      </c>
      <c r="C17" s="1" t="s">
        <v>55</v>
      </c>
      <c r="D17" t="s">
        <v>56</v>
      </c>
      <c r="E17" t="s">
        <v>57</v>
      </c>
      <c r="G17">
        <v>165</v>
      </c>
      <c r="H17">
        <v>100</v>
      </c>
      <c r="I17">
        <v>65</v>
      </c>
      <c r="J17">
        <v>0</v>
      </c>
    </row>
    <row r="18" spans="1:10" x14ac:dyDescent="0.3">
      <c r="A18">
        <v>15</v>
      </c>
      <c r="B18" t="s">
        <v>87</v>
      </c>
      <c r="C18" s="1" t="s">
        <v>88</v>
      </c>
      <c r="D18" t="s">
        <v>89</v>
      </c>
      <c r="E18" t="s">
        <v>90</v>
      </c>
      <c r="G18">
        <v>165</v>
      </c>
      <c r="H18">
        <v>100</v>
      </c>
      <c r="I18">
        <v>65</v>
      </c>
      <c r="J18">
        <v>0</v>
      </c>
    </row>
    <row r="19" spans="1:10" x14ac:dyDescent="0.3">
      <c r="A19">
        <v>15</v>
      </c>
      <c r="B19" t="s">
        <v>160</v>
      </c>
      <c r="C19" s="1" t="s">
        <v>161</v>
      </c>
      <c r="D19" t="s">
        <v>60</v>
      </c>
      <c r="E19" t="s">
        <v>162</v>
      </c>
      <c r="G19">
        <v>165</v>
      </c>
      <c r="H19">
        <v>100</v>
      </c>
      <c r="I19">
        <v>65</v>
      </c>
      <c r="J19">
        <v>0</v>
      </c>
    </row>
    <row r="20" spans="1:10" x14ac:dyDescent="0.3">
      <c r="A20">
        <v>15</v>
      </c>
      <c r="B20" t="s">
        <v>256</v>
      </c>
      <c r="C20" s="1" t="s">
        <v>257</v>
      </c>
      <c r="D20" t="s">
        <v>258</v>
      </c>
      <c r="E20" t="s">
        <v>259</v>
      </c>
      <c r="G20">
        <v>165</v>
      </c>
      <c r="H20">
        <v>100</v>
      </c>
      <c r="I20">
        <v>65</v>
      </c>
      <c r="J20">
        <v>0</v>
      </c>
    </row>
    <row r="21" spans="1:10" x14ac:dyDescent="0.3">
      <c r="A21">
        <v>15</v>
      </c>
      <c r="B21" t="s">
        <v>385</v>
      </c>
      <c r="C21" s="1" t="s">
        <v>386</v>
      </c>
      <c r="D21" t="s">
        <v>346</v>
      </c>
      <c r="E21" t="s">
        <v>387</v>
      </c>
      <c r="G21">
        <v>165</v>
      </c>
      <c r="H21">
        <v>100</v>
      </c>
      <c r="I21">
        <v>65</v>
      </c>
      <c r="J21">
        <v>0</v>
      </c>
    </row>
    <row r="22" spans="1:10" x14ac:dyDescent="0.3">
      <c r="A22">
        <v>15</v>
      </c>
      <c r="B22" t="s">
        <v>106</v>
      </c>
      <c r="C22" s="1" t="s">
        <v>107</v>
      </c>
      <c r="D22" t="s">
        <v>108</v>
      </c>
      <c r="E22" t="s">
        <v>109</v>
      </c>
      <c r="G22">
        <v>165</v>
      </c>
      <c r="H22">
        <v>100</v>
      </c>
      <c r="I22">
        <v>65</v>
      </c>
      <c r="J22">
        <v>0</v>
      </c>
    </row>
    <row r="23" spans="1:10" x14ac:dyDescent="0.3">
      <c r="A23">
        <v>15</v>
      </c>
      <c r="B23" t="s">
        <v>128</v>
      </c>
      <c r="C23" s="1" t="s">
        <v>129</v>
      </c>
      <c r="D23" t="s">
        <v>89</v>
      </c>
      <c r="E23" t="s">
        <v>130</v>
      </c>
      <c r="G23">
        <v>165</v>
      </c>
      <c r="H23">
        <v>100</v>
      </c>
      <c r="I23">
        <v>45</v>
      </c>
      <c r="J23">
        <v>20</v>
      </c>
    </row>
    <row r="24" spans="1:10" x14ac:dyDescent="0.3">
      <c r="A24">
        <v>23</v>
      </c>
      <c r="B24" t="s">
        <v>539</v>
      </c>
      <c r="C24" s="1" t="s">
        <v>540</v>
      </c>
      <c r="D24" t="s">
        <v>541</v>
      </c>
      <c r="E24" t="s">
        <v>542</v>
      </c>
      <c r="G24">
        <v>160</v>
      </c>
      <c r="H24">
        <v>100</v>
      </c>
      <c r="I24">
        <v>15</v>
      </c>
      <c r="J24">
        <v>45</v>
      </c>
    </row>
    <row r="25" spans="1:10" x14ac:dyDescent="0.3">
      <c r="A25">
        <v>24</v>
      </c>
      <c r="B25" t="s">
        <v>427</v>
      </c>
      <c r="C25" s="1" t="s">
        <v>428</v>
      </c>
      <c r="D25" t="s">
        <v>254</v>
      </c>
      <c r="E25" t="s">
        <v>429</v>
      </c>
      <c r="G25">
        <v>155</v>
      </c>
      <c r="H25">
        <v>100</v>
      </c>
      <c r="I25">
        <v>45</v>
      </c>
      <c r="J25">
        <v>10</v>
      </c>
    </row>
    <row r="26" spans="1:10" x14ac:dyDescent="0.3">
      <c r="A26">
        <v>24</v>
      </c>
      <c r="B26" t="s">
        <v>208</v>
      </c>
      <c r="C26" s="1" t="s">
        <v>209</v>
      </c>
      <c r="D26" t="s">
        <v>16</v>
      </c>
      <c r="E26" t="s">
        <v>210</v>
      </c>
      <c r="G26">
        <v>155</v>
      </c>
      <c r="H26">
        <v>100</v>
      </c>
      <c r="I26">
        <v>45</v>
      </c>
      <c r="J26">
        <v>10</v>
      </c>
    </row>
    <row r="27" spans="1:10" x14ac:dyDescent="0.3">
      <c r="A27">
        <v>24</v>
      </c>
      <c r="B27" t="s">
        <v>22</v>
      </c>
      <c r="C27" s="1" t="s">
        <v>23</v>
      </c>
      <c r="D27" t="s">
        <v>24</v>
      </c>
      <c r="E27" t="s">
        <v>25</v>
      </c>
      <c r="G27">
        <v>155</v>
      </c>
      <c r="H27">
        <v>100</v>
      </c>
      <c r="I27">
        <v>0</v>
      </c>
      <c r="J27">
        <v>55</v>
      </c>
    </row>
    <row r="28" spans="1:10" x14ac:dyDescent="0.3">
      <c r="A28">
        <v>27</v>
      </c>
      <c r="B28" t="s">
        <v>284</v>
      </c>
      <c r="C28" s="1" t="s">
        <v>285</v>
      </c>
      <c r="D28" t="s">
        <v>100</v>
      </c>
      <c r="E28" t="s">
        <v>286</v>
      </c>
      <c r="G28">
        <v>145</v>
      </c>
      <c r="H28">
        <v>100</v>
      </c>
      <c r="I28">
        <v>45</v>
      </c>
      <c r="J28">
        <v>0</v>
      </c>
    </row>
    <row r="29" spans="1:10" x14ac:dyDescent="0.3">
      <c r="A29">
        <v>27</v>
      </c>
      <c r="B29" t="s">
        <v>433</v>
      </c>
      <c r="C29" s="1" t="s">
        <v>434</v>
      </c>
      <c r="D29" t="s">
        <v>81</v>
      </c>
      <c r="E29" t="s">
        <v>435</v>
      </c>
      <c r="G29">
        <v>145</v>
      </c>
      <c r="H29">
        <v>100</v>
      </c>
      <c r="I29">
        <v>0</v>
      </c>
      <c r="J29">
        <v>45</v>
      </c>
    </row>
    <row r="30" spans="1:10" x14ac:dyDescent="0.3">
      <c r="A30">
        <v>27</v>
      </c>
      <c r="B30" t="s">
        <v>124</v>
      </c>
      <c r="C30" s="1" t="s">
        <v>125</v>
      </c>
      <c r="D30" t="s">
        <v>126</v>
      </c>
      <c r="E30" t="s">
        <v>127</v>
      </c>
      <c r="G30">
        <v>145</v>
      </c>
      <c r="H30">
        <v>100</v>
      </c>
      <c r="I30">
        <v>0</v>
      </c>
      <c r="J30">
        <v>45</v>
      </c>
    </row>
    <row r="31" spans="1:10" x14ac:dyDescent="0.3">
      <c r="A31">
        <v>27</v>
      </c>
      <c r="B31" t="s">
        <v>338</v>
      </c>
      <c r="C31" s="1" t="s">
        <v>339</v>
      </c>
      <c r="D31" t="s">
        <v>48</v>
      </c>
      <c r="E31" t="s">
        <v>340</v>
      </c>
      <c r="G31">
        <v>145</v>
      </c>
      <c r="H31">
        <v>100</v>
      </c>
      <c r="I31">
        <v>0</v>
      </c>
      <c r="J31">
        <v>45</v>
      </c>
    </row>
    <row r="32" spans="1:10" x14ac:dyDescent="0.3">
      <c r="A32">
        <v>31</v>
      </c>
      <c r="B32" t="s">
        <v>406</v>
      </c>
      <c r="C32" s="1" t="s">
        <v>407</v>
      </c>
      <c r="D32" t="s">
        <v>178</v>
      </c>
      <c r="E32" t="s">
        <v>408</v>
      </c>
      <c r="G32">
        <v>140</v>
      </c>
      <c r="H32">
        <v>100</v>
      </c>
      <c r="I32">
        <v>15</v>
      </c>
      <c r="J32">
        <v>25</v>
      </c>
    </row>
    <row r="33" spans="1:10" x14ac:dyDescent="0.3">
      <c r="A33">
        <v>31</v>
      </c>
      <c r="B33" t="s">
        <v>388</v>
      </c>
      <c r="C33" s="1" t="s">
        <v>389</v>
      </c>
      <c r="D33" t="s">
        <v>191</v>
      </c>
      <c r="E33" t="s">
        <v>390</v>
      </c>
      <c r="G33">
        <v>140</v>
      </c>
      <c r="H33">
        <v>100</v>
      </c>
      <c r="I33">
        <v>0</v>
      </c>
      <c r="J33">
        <v>40</v>
      </c>
    </row>
    <row r="34" spans="1:10" x14ac:dyDescent="0.3">
      <c r="A34">
        <v>33</v>
      </c>
      <c r="B34" t="s">
        <v>163</v>
      </c>
      <c r="C34" s="1" t="s">
        <v>164</v>
      </c>
      <c r="D34" t="s">
        <v>89</v>
      </c>
      <c r="E34" t="s">
        <v>165</v>
      </c>
      <c r="G34">
        <v>135</v>
      </c>
      <c r="H34">
        <v>100</v>
      </c>
      <c r="I34">
        <v>25</v>
      </c>
      <c r="J34">
        <v>10</v>
      </c>
    </row>
    <row r="35" spans="1:10" x14ac:dyDescent="0.3">
      <c r="A35">
        <v>33</v>
      </c>
      <c r="B35" t="s">
        <v>335</v>
      </c>
      <c r="C35" s="1" t="s">
        <v>336</v>
      </c>
      <c r="D35" t="s">
        <v>16</v>
      </c>
      <c r="E35" t="s">
        <v>337</v>
      </c>
      <c r="G35">
        <v>135</v>
      </c>
      <c r="H35">
        <v>100</v>
      </c>
      <c r="I35">
        <v>0</v>
      </c>
      <c r="J35">
        <v>35</v>
      </c>
    </row>
    <row r="36" spans="1:10" x14ac:dyDescent="0.3">
      <c r="A36">
        <v>33</v>
      </c>
      <c r="B36" t="s">
        <v>526</v>
      </c>
      <c r="C36" s="1" t="s">
        <v>527</v>
      </c>
      <c r="D36" t="s">
        <v>81</v>
      </c>
      <c r="E36" t="s">
        <v>528</v>
      </c>
      <c r="G36">
        <v>135</v>
      </c>
      <c r="H36">
        <v>100</v>
      </c>
      <c r="I36">
        <v>0</v>
      </c>
      <c r="J36">
        <v>35</v>
      </c>
    </row>
    <row r="37" spans="1:10" x14ac:dyDescent="0.3">
      <c r="A37">
        <v>33</v>
      </c>
      <c r="B37" t="s">
        <v>149</v>
      </c>
      <c r="C37" s="1" t="s">
        <v>150</v>
      </c>
      <c r="D37" t="s">
        <v>151</v>
      </c>
      <c r="E37" t="s">
        <v>152</v>
      </c>
      <c r="G37">
        <v>135</v>
      </c>
      <c r="H37">
        <v>100</v>
      </c>
      <c r="I37">
        <v>0</v>
      </c>
      <c r="J37">
        <v>35</v>
      </c>
    </row>
    <row r="38" spans="1:10" x14ac:dyDescent="0.3">
      <c r="A38">
        <v>33</v>
      </c>
      <c r="B38" t="s">
        <v>76</v>
      </c>
      <c r="C38" s="1" t="s">
        <v>77</v>
      </c>
      <c r="D38" t="s">
        <v>64</v>
      </c>
      <c r="E38" t="s">
        <v>78</v>
      </c>
      <c r="G38">
        <v>135</v>
      </c>
      <c r="H38">
        <v>100</v>
      </c>
      <c r="I38">
        <v>0</v>
      </c>
      <c r="J38">
        <v>35</v>
      </c>
    </row>
    <row r="39" spans="1:10" x14ac:dyDescent="0.3">
      <c r="A39">
        <v>33</v>
      </c>
      <c r="B39" t="s">
        <v>70</v>
      </c>
      <c r="C39" s="1" t="s">
        <v>71</v>
      </c>
      <c r="D39" t="s">
        <v>16</v>
      </c>
      <c r="E39" t="s">
        <v>72</v>
      </c>
      <c r="G39">
        <v>135</v>
      </c>
      <c r="H39">
        <v>100</v>
      </c>
      <c r="I39">
        <v>25</v>
      </c>
      <c r="J39">
        <v>10</v>
      </c>
    </row>
    <row r="40" spans="1:10" x14ac:dyDescent="0.3">
      <c r="A40">
        <v>33</v>
      </c>
      <c r="B40" t="s">
        <v>482</v>
      </c>
      <c r="C40" s="1" t="s">
        <v>483</v>
      </c>
      <c r="D40" t="s">
        <v>24</v>
      </c>
      <c r="E40" t="s">
        <v>484</v>
      </c>
      <c r="G40">
        <v>135</v>
      </c>
      <c r="H40">
        <v>100</v>
      </c>
      <c r="I40">
        <v>0</v>
      </c>
      <c r="J40">
        <v>35</v>
      </c>
    </row>
    <row r="41" spans="1:10" x14ac:dyDescent="0.3">
      <c r="A41">
        <v>40</v>
      </c>
      <c r="B41" t="s">
        <v>180</v>
      </c>
      <c r="C41" s="1" t="s">
        <v>181</v>
      </c>
      <c r="D41" t="s">
        <v>178</v>
      </c>
      <c r="E41" t="s">
        <v>182</v>
      </c>
      <c r="G41">
        <v>130</v>
      </c>
      <c r="H41">
        <v>100</v>
      </c>
      <c r="I41">
        <v>0</v>
      </c>
      <c r="J41">
        <v>30</v>
      </c>
    </row>
    <row r="42" spans="1:10" x14ac:dyDescent="0.3">
      <c r="A42">
        <v>40</v>
      </c>
      <c r="B42" t="s">
        <v>153</v>
      </c>
      <c r="C42" s="1" t="s">
        <v>154</v>
      </c>
      <c r="D42" t="s">
        <v>155</v>
      </c>
      <c r="E42" t="s">
        <v>156</v>
      </c>
      <c r="G42">
        <v>130</v>
      </c>
      <c r="H42">
        <v>100</v>
      </c>
      <c r="I42">
        <v>0</v>
      </c>
      <c r="J42">
        <v>30</v>
      </c>
    </row>
    <row r="43" spans="1:10" x14ac:dyDescent="0.3">
      <c r="A43">
        <v>42</v>
      </c>
      <c r="B43" t="s">
        <v>310</v>
      </c>
      <c r="C43" s="1" t="s">
        <v>311</v>
      </c>
      <c r="D43" t="s">
        <v>89</v>
      </c>
      <c r="E43" t="s">
        <v>312</v>
      </c>
      <c r="G43">
        <v>125</v>
      </c>
      <c r="H43">
        <v>100</v>
      </c>
      <c r="I43">
        <v>0</v>
      </c>
      <c r="J43">
        <v>25</v>
      </c>
    </row>
    <row r="44" spans="1:10" x14ac:dyDescent="0.3">
      <c r="A44">
        <v>42</v>
      </c>
      <c r="B44" t="s">
        <v>228</v>
      </c>
      <c r="C44" s="1" t="s">
        <v>229</v>
      </c>
      <c r="D44" t="s">
        <v>126</v>
      </c>
      <c r="E44" t="s">
        <v>230</v>
      </c>
      <c r="G44">
        <v>125</v>
      </c>
      <c r="H44">
        <v>100</v>
      </c>
      <c r="I44">
        <v>0</v>
      </c>
      <c r="J44">
        <v>25</v>
      </c>
    </row>
    <row r="45" spans="1:10" x14ac:dyDescent="0.3">
      <c r="A45">
        <v>42</v>
      </c>
      <c r="B45" t="s">
        <v>326</v>
      </c>
      <c r="C45" s="1" t="s">
        <v>327</v>
      </c>
      <c r="D45" t="s">
        <v>223</v>
      </c>
      <c r="E45" t="s">
        <v>328</v>
      </c>
      <c r="G45">
        <v>125</v>
      </c>
      <c r="H45">
        <v>100</v>
      </c>
      <c r="I45">
        <v>0</v>
      </c>
      <c r="J45">
        <v>25</v>
      </c>
    </row>
    <row r="46" spans="1:10" x14ac:dyDescent="0.3">
      <c r="A46">
        <v>42</v>
      </c>
      <c r="B46" t="s">
        <v>296</v>
      </c>
      <c r="C46" s="1" t="s">
        <v>297</v>
      </c>
      <c r="D46" t="s">
        <v>178</v>
      </c>
      <c r="E46" t="s">
        <v>298</v>
      </c>
      <c r="G46">
        <v>125</v>
      </c>
      <c r="H46">
        <v>100</v>
      </c>
      <c r="I46">
        <v>0</v>
      </c>
      <c r="J46">
        <v>25</v>
      </c>
    </row>
    <row r="47" spans="1:10" x14ac:dyDescent="0.3">
      <c r="A47">
        <v>42</v>
      </c>
      <c r="B47" t="s">
        <v>307</v>
      </c>
      <c r="C47" s="1" t="s">
        <v>308</v>
      </c>
      <c r="D47" t="s">
        <v>52</v>
      </c>
      <c r="E47" t="s">
        <v>309</v>
      </c>
      <c r="G47">
        <v>125</v>
      </c>
      <c r="H47">
        <v>100</v>
      </c>
      <c r="I47">
        <v>0</v>
      </c>
      <c r="J47">
        <v>25</v>
      </c>
    </row>
    <row r="48" spans="1:10" x14ac:dyDescent="0.3">
      <c r="A48">
        <v>42</v>
      </c>
      <c r="B48" t="s">
        <v>354</v>
      </c>
      <c r="C48" s="1" t="s">
        <v>355</v>
      </c>
      <c r="D48" t="s">
        <v>223</v>
      </c>
      <c r="E48" t="s">
        <v>356</v>
      </c>
      <c r="G48">
        <v>125</v>
      </c>
      <c r="H48">
        <v>100</v>
      </c>
      <c r="I48">
        <v>0</v>
      </c>
      <c r="J48">
        <v>25</v>
      </c>
    </row>
    <row r="49" spans="1:10" x14ac:dyDescent="0.3">
      <c r="A49">
        <v>42</v>
      </c>
      <c r="B49" t="s">
        <v>488</v>
      </c>
      <c r="C49" s="1" t="s">
        <v>489</v>
      </c>
      <c r="D49" t="s">
        <v>362</v>
      </c>
      <c r="E49" t="s">
        <v>490</v>
      </c>
      <c r="G49">
        <v>125</v>
      </c>
      <c r="H49">
        <v>100</v>
      </c>
      <c r="I49">
        <v>0</v>
      </c>
      <c r="J49">
        <v>25</v>
      </c>
    </row>
    <row r="50" spans="1:10" x14ac:dyDescent="0.3">
      <c r="A50">
        <v>42</v>
      </c>
      <c r="B50" t="s">
        <v>476</v>
      </c>
      <c r="C50" s="1" t="s">
        <v>477</v>
      </c>
      <c r="D50" t="s">
        <v>81</v>
      </c>
      <c r="E50" t="s">
        <v>478</v>
      </c>
      <c r="G50">
        <v>125</v>
      </c>
      <c r="H50">
        <v>100</v>
      </c>
      <c r="I50">
        <v>0</v>
      </c>
      <c r="J50">
        <v>25</v>
      </c>
    </row>
    <row r="51" spans="1:10" x14ac:dyDescent="0.3">
      <c r="A51">
        <v>42</v>
      </c>
      <c r="B51" t="s">
        <v>196</v>
      </c>
      <c r="C51" s="1" t="s">
        <v>197</v>
      </c>
      <c r="D51" t="s">
        <v>20</v>
      </c>
      <c r="E51" t="s">
        <v>198</v>
      </c>
      <c r="G51">
        <v>125</v>
      </c>
      <c r="H51">
        <v>100</v>
      </c>
      <c r="I51">
        <v>25</v>
      </c>
      <c r="J51">
        <v>0</v>
      </c>
    </row>
    <row r="52" spans="1:10" x14ac:dyDescent="0.3">
      <c r="A52">
        <v>51</v>
      </c>
      <c r="B52" t="s">
        <v>218</v>
      </c>
      <c r="C52" s="1" t="s">
        <v>219</v>
      </c>
      <c r="D52" t="s">
        <v>16</v>
      </c>
      <c r="E52" t="s">
        <v>220</v>
      </c>
      <c r="G52">
        <v>120</v>
      </c>
      <c r="H52">
        <v>100</v>
      </c>
      <c r="I52">
        <v>0</v>
      </c>
      <c r="J52">
        <v>20</v>
      </c>
    </row>
    <row r="53" spans="1:10" x14ac:dyDescent="0.3">
      <c r="A53">
        <v>51</v>
      </c>
      <c r="B53" t="s">
        <v>299</v>
      </c>
      <c r="C53" s="1" t="s">
        <v>300</v>
      </c>
      <c r="D53" t="s">
        <v>301</v>
      </c>
      <c r="E53" t="s">
        <v>302</v>
      </c>
      <c r="G53">
        <v>120</v>
      </c>
      <c r="H53">
        <v>100</v>
      </c>
      <c r="I53">
        <v>0</v>
      </c>
      <c r="J53">
        <v>20</v>
      </c>
    </row>
    <row r="54" spans="1:10" x14ac:dyDescent="0.3">
      <c r="A54">
        <v>51</v>
      </c>
      <c r="B54" t="s">
        <v>225</v>
      </c>
      <c r="C54" s="1" t="s">
        <v>226</v>
      </c>
      <c r="E54" t="s">
        <v>227</v>
      </c>
      <c r="G54">
        <v>120</v>
      </c>
      <c r="H54">
        <v>100</v>
      </c>
      <c r="I54">
        <v>0</v>
      </c>
      <c r="J54">
        <v>20</v>
      </c>
    </row>
    <row r="55" spans="1:10" x14ac:dyDescent="0.3">
      <c r="A55">
        <v>51</v>
      </c>
      <c r="B55" t="s">
        <v>189</v>
      </c>
      <c r="C55" s="1" t="s">
        <v>190</v>
      </c>
      <c r="D55" t="s">
        <v>191</v>
      </c>
      <c r="E55" t="s">
        <v>192</v>
      </c>
      <c r="G55">
        <v>120</v>
      </c>
      <c r="H55">
        <v>100</v>
      </c>
      <c r="I55">
        <v>0</v>
      </c>
      <c r="J55">
        <v>20</v>
      </c>
    </row>
    <row r="56" spans="1:10" x14ac:dyDescent="0.3">
      <c r="A56">
        <v>55</v>
      </c>
      <c r="B56" t="s">
        <v>211</v>
      </c>
      <c r="C56" s="1" t="s">
        <v>212</v>
      </c>
      <c r="D56" t="s">
        <v>147</v>
      </c>
      <c r="E56" t="s">
        <v>213</v>
      </c>
      <c r="G56">
        <v>115</v>
      </c>
      <c r="H56">
        <v>100</v>
      </c>
      <c r="I56">
        <v>15</v>
      </c>
      <c r="J56">
        <v>0</v>
      </c>
    </row>
    <row r="57" spans="1:10" x14ac:dyDescent="0.3">
      <c r="A57">
        <v>55</v>
      </c>
      <c r="B57" t="s">
        <v>360</v>
      </c>
      <c r="C57" s="1" t="s">
        <v>361</v>
      </c>
      <c r="D57" t="s">
        <v>362</v>
      </c>
      <c r="E57" t="s">
        <v>363</v>
      </c>
      <c r="G57">
        <v>115</v>
      </c>
      <c r="H57">
        <v>100</v>
      </c>
      <c r="I57">
        <v>0</v>
      </c>
      <c r="J57">
        <v>15</v>
      </c>
    </row>
    <row r="58" spans="1:10" x14ac:dyDescent="0.3">
      <c r="A58">
        <v>55</v>
      </c>
      <c r="B58" t="s">
        <v>536</v>
      </c>
      <c r="C58" s="1" t="s">
        <v>537</v>
      </c>
      <c r="D58" t="s">
        <v>191</v>
      </c>
      <c r="E58" t="s">
        <v>538</v>
      </c>
      <c r="G58">
        <v>115</v>
      </c>
      <c r="H58">
        <v>100</v>
      </c>
      <c r="I58">
        <v>0</v>
      </c>
      <c r="J58">
        <v>15</v>
      </c>
    </row>
    <row r="59" spans="1:10" x14ac:dyDescent="0.3">
      <c r="A59">
        <v>55</v>
      </c>
      <c r="B59" t="s">
        <v>329</v>
      </c>
      <c r="C59" s="1" t="s">
        <v>330</v>
      </c>
      <c r="D59" t="s">
        <v>216</v>
      </c>
      <c r="E59" t="s">
        <v>331</v>
      </c>
      <c r="G59">
        <v>115</v>
      </c>
      <c r="H59">
        <v>100</v>
      </c>
      <c r="I59">
        <v>15</v>
      </c>
      <c r="J59">
        <v>0</v>
      </c>
    </row>
    <row r="60" spans="1:10" x14ac:dyDescent="0.3">
      <c r="A60">
        <v>59</v>
      </c>
      <c r="B60" t="s">
        <v>113</v>
      </c>
      <c r="C60" s="1" t="s">
        <v>114</v>
      </c>
      <c r="D60" t="s">
        <v>60</v>
      </c>
      <c r="E60" t="s">
        <v>115</v>
      </c>
      <c r="G60">
        <v>110</v>
      </c>
      <c r="H60">
        <v>100</v>
      </c>
      <c r="I60">
        <v>10</v>
      </c>
      <c r="J60">
        <v>0</v>
      </c>
    </row>
    <row r="61" spans="1:10" x14ac:dyDescent="0.3">
      <c r="A61">
        <v>59</v>
      </c>
      <c r="B61" t="s">
        <v>246</v>
      </c>
      <c r="C61" s="1" t="s">
        <v>247</v>
      </c>
      <c r="D61" t="s">
        <v>178</v>
      </c>
      <c r="E61" t="s">
        <v>248</v>
      </c>
      <c r="G61">
        <v>110</v>
      </c>
      <c r="H61">
        <v>100</v>
      </c>
      <c r="I61">
        <v>0</v>
      </c>
      <c r="J61">
        <v>10</v>
      </c>
    </row>
    <row r="62" spans="1:10" x14ac:dyDescent="0.3">
      <c r="A62">
        <v>59</v>
      </c>
      <c r="B62" t="s">
        <v>351</v>
      </c>
      <c r="C62" s="1" t="s">
        <v>352</v>
      </c>
      <c r="D62" t="s">
        <v>178</v>
      </c>
      <c r="E62" t="s">
        <v>353</v>
      </c>
      <c r="G62">
        <v>110</v>
      </c>
      <c r="H62">
        <v>100</v>
      </c>
      <c r="I62">
        <v>10</v>
      </c>
      <c r="J62">
        <v>0</v>
      </c>
    </row>
    <row r="63" spans="1:10" x14ac:dyDescent="0.3">
      <c r="A63">
        <v>59</v>
      </c>
      <c r="B63" t="s">
        <v>344</v>
      </c>
      <c r="C63" s="1" t="s">
        <v>345</v>
      </c>
      <c r="D63" t="s">
        <v>346</v>
      </c>
      <c r="E63" t="s">
        <v>347</v>
      </c>
      <c r="G63">
        <v>110</v>
      </c>
      <c r="H63">
        <v>100</v>
      </c>
      <c r="I63">
        <v>0</v>
      </c>
      <c r="J63">
        <v>10</v>
      </c>
    </row>
    <row r="64" spans="1:10" x14ac:dyDescent="0.3">
      <c r="A64">
        <v>59</v>
      </c>
      <c r="B64" t="s">
        <v>205</v>
      </c>
      <c r="C64" s="1" t="s">
        <v>206</v>
      </c>
      <c r="D64" t="s">
        <v>89</v>
      </c>
      <c r="E64" t="s">
        <v>207</v>
      </c>
      <c r="G64">
        <v>110</v>
      </c>
      <c r="H64">
        <v>100</v>
      </c>
      <c r="I64">
        <v>10</v>
      </c>
      <c r="J64">
        <v>0</v>
      </c>
    </row>
    <row r="65" spans="1:10" x14ac:dyDescent="0.3">
      <c r="A65">
        <v>59</v>
      </c>
      <c r="B65" t="s">
        <v>26</v>
      </c>
      <c r="C65" s="1" t="s">
        <v>27</v>
      </c>
      <c r="D65" t="s">
        <v>28</v>
      </c>
      <c r="E65" t="s">
        <v>29</v>
      </c>
      <c r="G65">
        <v>110</v>
      </c>
      <c r="H65">
        <v>100</v>
      </c>
      <c r="I65">
        <v>0</v>
      </c>
      <c r="J65">
        <v>10</v>
      </c>
    </row>
    <row r="66" spans="1:10" x14ac:dyDescent="0.3">
      <c r="A66">
        <v>59</v>
      </c>
      <c r="B66" t="s">
        <v>436</v>
      </c>
      <c r="C66" s="1" t="s">
        <v>437</v>
      </c>
      <c r="D66" t="s">
        <v>438</v>
      </c>
      <c r="E66" t="s">
        <v>439</v>
      </c>
      <c r="G66">
        <v>110</v>
      </c>
      <c r="H66">
        <v>100</v>
      </c>
      <c r="I66">
        <v>0</v>
      </c>
      <c r="J66">
        <v>10</v>
      </c>
    </row>
    <row r="67" spans="1:10" x14ac:dyDescent="0.3">
      <c r="A67">
        <v>59</v>
      </c>
      <c r="B67" t="s">
        <v>523</v>
      </c>
      <c r="C67" s="1" t="s">
        <v>524</v>
      </c>
      <c r="D67" t="s">
        <v>89</v>
      </c>
      <c r="E67" t="s">
        <v>525</v>
      </c>
      <c r="G67">
        <v>110</v>
      </c>
      <c r="H67">
        <v>100</v>
      </c>
      <c r="I67">
        <v>0</v>
      </c>
      <c r="J67">
        <v>10</v>
      </c>
    </row>
    <row r="68" spans="1:10" x14ac:dyDescent="0.3">
      <c r="A68">
        <v>59</v>
      </c>
      <c r="B68" t="s">
        <v>374</v>
      </c>
      <c r="C68" s="1" t="s">
        <v>375</v>
      </c>
      <c r="D68" t="s">
        <v>24</v>
      </c>
      <c r="E68" t="s">
        <v>376</v>
      </c>
      <c r="G68">
        <v>110</v>
      </c>
      <c r="H68">
        <v>100</v>
      </c>
      <c r="I68">
        <v>0</v>
      </c>
      <c r="J68">
        <v>10</v>
      </c>
    </row>
    <row r="69" spans="1:10" x14ac:dyDescent="0.3">
      <c r="A69">
        <v>68</v>
      </c>
      <c r="B69" t="s">
        <v>173</v>
      </c>
      <c r="C69" s="1" t="s">
        <v>174</v>
      </c>
      <c r="D69" t="s">
        <v>133</v>
      </c>
      <c r="E69" t="s">
        <v>175</v>
      </c>
      <c r="G69">
        <v>100</v>
      </c>
      <c r="H69">
        <v>100</v>
      </c>
      <c r="I69">
        <v>0</v>
      </c>
      <c r="J69">
        <v>0</v>
      </c>
    </row>
    <row r="70" spans="1:10" x14ac:dyDescent="0.3">
      <c r="A70">
        <v>68</v>
      </c>
      <c r="B70" t="s">
        <v>98</v>
      </c>
      <c r="C70" s="1" t="s">
        <v>99</v>
      </c>
      <c r="D70" t="s">
        <v>100</v>
      </c>
      <c r="E70" t="s">
        <v>101</v>
      </c>
      <c r="G70">
        <v>100</v>
      </c>
      <c r="H70">
        <v>100</v>
      </c>
      <c r="I70">
        <v>0</v>
      </c>
      <c r="J70">
        <v>0</v>
      </c>
    </row>
    <row r="71" spans="1:10" x14ac:dyDescent="0.3">
      <c r="A71">
        <v>68</v>
      </c>
      <c r="B71" t="s">
        <v>423</v>
      </c>
      <c r="C71" s="1" t="s">
        <v>424</v>
      </c>
      <c r="D71" t="s">
        <v>425</v>
      </c>
      <c r="E71" t="s">
        <v>426</v>
      </c>
      <c r="G71">
        <v>100</v>
      </c>
      <c r="H71">
        <v>100</v>
      </c>
      <c r="I71">
        <v>0</v>
      </c>
      <c r="J71">
        <v>0</v>
      </c>
    </row>
    <row r="72" spans="1:10" x14ac:dyDescent="0.3">
      <c r="A72">
        <v>68</v>
      </c>
      <c r="B72" t="s">
        <v>176</v>
      </c>
      <c r="C72" s="1" t="s">
        <v>177</v>
      </c>
      <c r="D72" t="s">
        <v>178</v>
      </c>
      <c r="E72" t="s">
        <v>179</v>
      </c>
      <c r="G72">
        <v>100</v>
      </c>
      <c r="H72">
        <v>100</v>
      </c>
      <c r="I72">
        <v>0</v>
      </c>
      <c r="J72">
        <v>0</v>
      </c>
    </row>
    <row r="73" spans="1:10" x14ac:dyDescent="0.3">
      <c r="A73">
        <v>68</v>
      </c>
      <c r="B73" t="s">
        <v>280</v>
      </c>
      <c r="C73" s="1" t="s">
        <v>281</v>
      </c>
      <c r="D73" t="s">
        <v>282</v>
      </c>
      <c r="E73" t="s">
        <v>283</v>
      </c>
      <c r="G73">
        <v>100</v>
      </c>
      <c r="H73">
        <v>100</v>
      </c>
      <c r="I73">
        <v>0</v>
      </c>
      <c r="J73">
        <v>0</v>
      </c>
    </row>
    <row r="74" spans="1:10" x14ac:dyDescent="0.3">
      <c r="A74">
        <v>68</v>
      </c>
      <c r="B74" t="s">
        <v>135</v>
      </c>
      <c r="C74" s="1" t="s">
        <v>136</v>
      </c>
      <c r="D74" t="s">
        <v>28</v>
      </c>
      <c r="E74" t="s">
        <v>137</v>
      </c>
      <c r="G74">
        <v>100</v>
      </c>
      <c r="H74">
        <v>100</v>
      </c>
      <c r="I74">
        <v>0</v>
      </c>
      <c r="J74">
        <v>0</v>
      </c>
    </row>
    <row r="75" spans="1:10" x14ac:dyDescent="0.3">
      <c r="A75">
        <v>68</v>
      </c>
      <c r="B75" t="s">
        <v>444</v>
      </c>
      <c r="C75" s="1" t="s">
        <v>445</v>
      </c>
      <c r="D75" t="s">
        <v>223</v>
      </c>
      <c r="E75" t="s">
        <v>446</v>
      </c>
      <c r="G75">
        <v>100</v>
      </c>
      <c r="H75">
        <v>100</v>
      </c>
      <c r="I75">
        <v>0</v>
      </c>
      <c r="J75">
        <v>0</v>
      </c>
    </row>
    <row r="76" spans="1:10" x14ac:dyDescent="0.3">
      <c r="A76">
        <v>68</v>
      </c>
      <c r="B76" t="s">
        <v>116</v>
      </c>
      <c r="C76" s="1" t="s">
        <v>117</v>
      </c>
      <c r="D76" t="s">
        <v>118</v>
      </c>
      <c r="E76" t="s">
        <v>119</v>
      </c>
      <c r="G76">
        <v>100</v>
      </c>
      <c r="H76">
        <v>100</v>
      </c>
      <c r="I76">
        <v>0</v>
      </c>
      <c r="J76">
        <v>0</v>
      </c>
    </row>
    <row r="77" spans="1:10" x14ac:dyDescent="0.3">
      <c r="A77">
        <v>68</v>
      </c>
      <c r="B77" t="s">
        <v>371</v>
      </c>
      <c r="C77" s="1" t="s">
        <v>372</v>
      </c>
      <c r="D77" t="s">
        <v>178</v>
      </c>
      <c r="E77" t="s">
        <v>373</v>
      </c>
      <c r="G77">
        <v>100</v>
      </c>
      <c r="H77">
        <v>100</v>
      </c>
      <c r="I77">
        <v>0</v>
      </c>
      <c r="J77">
        <v>0</v>
      </c>
    </row>
    <row r="78" spans="1:10" x14ac:dyDescent="0.3">
      <c r="A78">
        <v>68</v>
      </c>
      <c r="B78" t="s">
        <v>566</v>
      </c>
      <c r="C78" s="1" t="s">
        <v>567</v>
      </c>
      <c r="D78" t="s">
        <v>568</v>
      </c>
      <c r="E78" t="s">
        <v>569</v>
      </c>
      <c r="G78">
        <v>100</v>
      </c>
      <c r="H78">
        <v>100</v>
      </c>
      <c r="I78">
        <v>0</v>
      </c>
      <c r="J78">
        <v>0</v>
      </c>
    </row>
    <row r="79" spans="1:10" x14ac:dyDescent="0.3">
      <c r="A79">
        <v>68</v>
      </c>
      <c r="B79" t="s">
        <v>364</v>
      </c>
      <c r="C79" s="1" t="s">
        <v>365</v>
      </c>
      <c r="D79" t="s">
        <v>12</v>
      </c>
      <c r="E79" t="s">
        <v>366</v>
      </c>
      <c r="G79">
        <v>100</v>
      </c>
      <c r="H79">
        <v>100</v>
      </c>
      <c r="I79">
        <v>0</v>
      </c>
      <c r="J79">
        <v>0</v>
      </c>
    </row>
    <row r="80" spans="1:10" x14ac:dyDescent="0.3">
      <c r="A80">
        <v>68</v>
      </c>
      <c r="B80" t="s">
        <v>221</v>
      </c>
      <c r="C80" s="1" t="s">
        <v>222</v>
      </c>
      <c r="D80" t="s">
        <v>223</v>
      </c>
      <c r="E80" t="s">
        <v>224</v>
      </c>
      <c r="G80">
        <v>100</v>
      </c>
      <c r="H80">
        <v>100</v>
      </c>
      <c r="I80">
        <v>0</v>
      </c>
      <c r="J80">
        <v>0</v>
      </c>
    </row>
    <row r="81" spans="1:10" x14ac:dyDescent="0.3">
      <c r="A81">
        <v>68</v>
      </c>
      <c r="B81" t="s">
        <v>277</v>
      </c>
      <c r="C81" s="1" t="s">
        <v>278</v>
      </c>
      <c r="D81" t="s">
        <v>60</v>
      </c>
      <c r="E81" t="s">
        <v>279</v>
      </c>
      <c r="G81">
        <v>100</v>
      </c>
      <c r="H81">
        <v>100</v>
      </c>
      <c r="I81">
        <v>0</v>
      </c>
      <c r="J81">
        <v>0</v>
      </c>
    </row>
    <row r="82" spans="1:10" x14ac:dyDescent="0.3">
      <c r="A82">
        <v>68</v>
      </c>
      <c r="B82" t="s">
        <v>546</v>
      </c>
      <c r="C82" s="1" t="s">
        <v>547</v>
      </c>
      <c r="D82" t="s">
        <v>548</v>
      </c>
      <c r="E82" t="s">
        <v>549</v>
      </c>
      <c r="G82">
        <v>100</v>
      </c>
      <c r="H82">
        <v>100</v>
      </c>
      <c r="I82">
        <v>0</v>
      </c>
      <c r="J82">
        <v>0</v>
      </c>
    </row>
    <row r="83" spans="1:10" x14ac:dyDescent="0.3">
      <c r="A83">
        <v>68</v>
      </c>
      <c r="B83" t="s">
        <v>500</v>
      </c>
      <c r="C83" s="1" t="s">
        <v>501</v>
      </c>
      <c r="D83" t="s">
        <v>502</v>
      </c>
      <c r="E83" t="s">
        <v>503</v>
      </c>
      <c r="G83">
        <v>100</v>
      </c>
      <c r="H83">
        <v>100</v>
      </c>
      <c r="I83">
        <v>0</v>
      </c>
      <c r="J83">
        <v>0</v>
      </c>
    </row>
    <row r="84" spans="1:10" x14ac:dyDescent="0.3">
      <c r="A84">
        <v>68</v>
      </c>
      <c r="B84" t="s">
        <v>513</v>
      </c>
      <c r="C84" s="1" t="s">
        <v>514</v>
      </c>
      <c r="D84" t="s">
        <v>108</v>
      </c>
      <c r="E84" t="s">
        <v>515</v>
      </c>
      <c r="G84">
        <v>100</v>
      </c>
      <c r="H84">
        <v>100</v>
      </c>
      <c r="I84">
        <v>0</v>
      </c>
      <c r="J84">
        <v>0</v>
      </c>
    </row>
    <row r="85" spans="1:10" x14ac:dyDescent="0.3">
      <c r="A85">
        <v>68</v>
      </c>
      <c r="B85" t="s">
        <v>377</v>
      </c>
      <c r="C85" s="1" t="s">
        <v>378</v>
      </c>
      <c r="D85" t="s">
        <v>379</v>
      </c>
      <c r="E85" t="s">
        <v>380</v>
      </c>
      <c r="G85">
        <v>100</v>
      </c>
      <c r="H85">
        <v>100</v>
      </c>
      <c r="I85">
        <v>0</v>
      </c>
      <c r="J85">
        <v>0</v>
      </c>
    </row>
    <row r="86" spans="1:10" x14ac:dyDescent="0.3">
      <c r="A86">
        <v>68</v>
      </c>
      <c r="B86" t="s">
        <v>260</v>
      </c>
      <c r="C86" s="1" t="s">
        <v>261</v>
      </c>
      <c r="D86" t="s">
        <v>96</v>
      </c>
      <c r="E86" t="s">
        <v>262</v>
      </c>
      <c r="G86">
        <v>100</v>
      </c>
      <c r="H86">
        <v>100</v>
      </c>
      <c r="I86">
        <v>0</v>
      </c>
      <c r="J86">
        <v>0</v>
      </c>
    </row>
    <row r="87" spans="1:10" x14ac:dyDescent="0.3">
      <c r="A87">
        <v>68</v>
      </c>
      <c r="B87" t="s">
        <v>199</v>
      </c>
      <c r="C87" s="1" t="s">
        <v>200</v>
      </c>
      <c r="D87" t="s">
        <v>28</v>
      </c>
      <c r="E87" t="s">
        <v>201</v>
      </c>
      <c r="G87">
        <v>100</v>
      </c>
      <c r="H87">
        <v>100</v>
      </c>
      <c r="I87">
        <v>0</v>
      </c>
      <c r="J87">
        <v>0</v>
      </c>
    </row>
    <row r="88" spans="1:10" x14ac:dyDescent="0.3">
      <c r="A88">
        <v>68</v>
      </c>
      <c r="B88" t="s">
        <v>214</v>
      </c>
      <c r="C88" s="1" t="s">
        <v>215</v>
      </c>
      <c r="D88" t="s">
        <v>216</v>
      </c>
      <c r="E88" t="s">
        <v>217</v>
      </c>
      <c r="G88">
        <v>100</v>
      </c>
      <c r="H88">
        <v>100</v>
      </c>
      <c r="I88">
        <v>0</v>
      </c>
      <c r="J88">
        <v>0</v>
      </c>
    </row>
    <row r="89" spans="1:10" x14ac:dyDescent="0.3">
      <c r="A89">
        <v>68</v>
      </c>
      <c r="B89" t="s">
        <v>553</v>
      </c>
      <c r="C89" s="1" t="s">
        <v>554</v>
      </c>
      <c r="D89" t="s">
        <v>555</v>
      </c>
      <c r="E89" t="s">
        <v>556</v>
      </c>
      <c r="G89">
        <v>100</v>
      </c>
      <c r="H89">
        <v>100</v>
      </c>
      <c r="I89">
        <v>0</v>
      </c>
      <c r="J89">
        <v>0</v>
      </c>
    </row>
    <row r="90" spans="1:10" x14ac:dyDescent="0.3">
      <c r="A90">
        <v>68</v>
      </c>
      <c r="B90" t="s">
        <v>237</v>
      </c>
      <c r="C90" s="1" t="s">
        <v>238</v>
      </c>
      <c r="D90" t="s">
        <v>216</v>
      </c>
      <c r="E90" t="s">
        <v>239</v>
      </c>
      <c r="G90">
        <v>100</v>
      </c>
      <c r="H90">
        <v>100</v>
      </c>
      <c r="I90">
        <v>0</v>
      </c>
      <c r="J90">
        <v>0</v>
      </c>
    </row>
    <row r="91" spans="1:10" x14ac:dyDescent="0.3">
      <c r="A91">
        <v>68</v>
      </c>
      <c r="B91" t="s">
        <v>183</v>
      </c>
      <c r="C91" s="1" t="s">
        <v>184</v>
      </c>
      <c r="D91" t="s">
        <v>104</v>
      </c>
      <c r="E91" t="s">
        <v>185</v>
      </c>
      <c r="G91">
        <v>100</v>
      </c>
      <c r="H91">
        <v>100</v>
      </c>
      <c r="I91">
        <v>0</v>
      </c>
      <c r="J91">
        <v>0</v>
      </c>
    </row>
    <row r="92" spans="1:10" x14ac:dyDescent="0.3">
      <c r="A92">
        <v>68</v>
      </c>
      <c r="B92" t="s">
        <v>403</v>
      </c>
      <c r="C92" s="1" t="s">
        <v>404</v>
      </c>
      <c r="D92" t="s">
        <v>28</v>
      </c>
      <c r="E92" t="s">
        <v>405</v>
      </c>
      <c r="G92">
        <v>100</v>
      </c>
      <c r="H92">
        <v>100</v>
      </c>
      <c r="I92">
        <v>0</v>
      </c>
      <c r="J92">
        <v>0</v>
      </c>
    </row>
    <row r="93" spans="1:10" x14ac:dyDescent="0.3">
      <c r="A93">
        <v>68</v>
      </c>
      <c r="B93" t="s">
        <v>357</v>
      </c>
      <c r="C93" s="1" t="s">
        <v>358</v>
      </c>
      <c r="D93" t="s">
        <v>68</v>
      </c>
      <c r="E93" t="s">
        <v>359</v>
      </c>
      <c r="G93">
        <v>100</v>
      </c>
      <c r="H93">
        <v>100</v>
      </c>
      <c r="I93">
        <v>0</v>
      </c>
      <c r="J93">
        <v>0</v>
      </c>
    </row>
    <row r="94" spans="1:10" x14ac:dyDescent="0.3">
      <c r="A94">
        <v>68</v>
      </c>
      <c r="B94" t="s">
        <v>131</v>
      </c>
      <c r="C94" s="1" t="s">
        <v>132</v>
      </c>
      <c r="D94" t="s">
        <v>133</v>
      </c>
      <c r="E94" t="s">
        <v>134</v>
      </c>
      <c r="G94">
        <v>100</v>
      </c>
      <c r="H94">
        <v>100</v>
      </c>
      <c r="I94">
        <v>0</v>
      </c>
      <c r="J94">
        <v>0</v>
      </c>
    </row>
    <row r="95" spans="1:10" x14ac:dyDescent="0.3">
      <c r="A95">
        <v>68</v>
      </c>
      <c r="B95" t="s">
        <v>240</v>
      </c>
      <c r="C95" s="1" t="s">
        <v>241</v>
      </c>
      <c r="D95" t="s">
        <v>108</v>
      </c>
      <c r="E95" t="s">
        <v>242</v>
      </c>
      <c r="G95">
        <v>100</v>
      </c>
      <c r="H95">
        <v>100</v>
      </c>
      <c r="I95">
        <v>0</v>
      </c>
      <c r="J95">
        <v>0</v>
      </c>
    </row>
    <row r="96" spans="1:10" x14ac:dyDescent="0.3">
      <c r="A96">
        <v>68</v>
      </c>
      <c r="B96" t="s">
        <v>557</v>
      </c>
      <c r="C96" s="1" t="s">
        <v>558</v>
      </c>
      <c r="D96" t="s">
        <v>216</v>
      </c>
      <c r="E96" t="s">
        <v>559</v>
      </c>
      <c r="G96">
        <v>100</v>
      </c>
      <c r="H96">
        <v>100</v>
      </c>
      <c r="I96">
        <v>0</v>
      </c>
      <c r="J96">
        <v>0</v>
      </c>
    </row>
    <row r="97" spans="1:10" x14ac:dyDescent="0.3">
      <c r="A97">
        <v>68</v>
      </c>
      <c r="B97" t="s">
        <v>46</v>
      </c>
      <c r="C97" s="1" t="s">
        <v>47</v>
      </c>
      <c r="D97" t="s">
        <v>48</v>
      </c>
      <c r="E97" t="s">
        <v>49</v>
      </c>
      <c r="G97">
        <v>100</v>
      </c>
      <c r="H97">
        <v>100</v>
      </c>
      <c r="I97">
        <v>0</v>
      </c>
      <c r="J97">
        <v>0</v>
      </c>
    </row>
    <row r="98" spans="1:10" x14ac:dyDescent="0.3">
      <c r="A98">
        <v>68</v>
      </c>
      <c r="B98" t="s">
        <v>507</v>
      </c>
      <c r="C98" s="1" t="s">
        <v>508</v>
      </c>
      <c r="D98" t="s">
        <v>16</v>
      </c>
      <c r="E98" t="s">
        <v>509</v>
      </c>
      <c r="G98">
        <v>100</v>
      </c>
      <c r="H98">
        <v>100</v>
      </c>
      <c r="I98">
        <v>0</v>
      </c>
      <c r="J98">
        <v>0</v>
      </c>
    </row>
    <row r="99" spans="1:10" x14ac:dyDescent="0.3">
      <c r="A99">
        <v>68</v>
      </c>
      <c r="B99" t="s">
        <v>166</v>
      </c>
      <c r="C99" s="1" t="s">
        <v>167</v>
      </c>
      <c r="D99" t="s">
        <v>168</v>
      </c>
      <c r="E99" t="s">
        <v>169</v>
      </c>
      <c r="G99">
        <v>100</v>
      </c>
      <c r="H99">
        <v>100</v>
      </c>
      <c r="I99">
        <v>0</v>
      </c>
      <c r="J99">
        <v>0</v>
      </c>
    </row>
    <row r="100" spans="1:10" x14ac:dyDescent="0.3">
      <c r="A100">
        <v>68</v>
      </c>
      <c r="B100" t="s">
        <v>394</v>
      </c>
      <c r="C100" s="1" t="s">
        <v>395</v>
      </c>
      <c r="D100" t="s">
        <v>178</v>
      </c>
      <c r="E100" t="s">
        <v>396</v>
      </c>
      <c r="G100">
        <v>100</v>
      </c>
      <c r="H100">
        <v>100</v>
      </c>
      <c r="I100">
        <v>0</v>
      </c>
      <c r="J100">
        <v>0</v>
      </c>
    </row>
    <row r="101" spans="1:10" x14ac:dyDescent="0.3">
      <c r="A101">
        <v>68</v>
      </c>
      <c r="B101" t="s">
        <v>491</v>
      </c>
      <c r="C101" s="1" t="s">
        <v>492</v>
      </c>
      <c r="D101" t="s">
        <v>178</v>
      </c>
      <c r="E101" t="s">
        <v>493</v>
      </c>
      <c r="G101">
        <v>100</v>
      </c>
      <c r="H101">
        <v>100</v>
      </c>
      <c r="I101">
        <v>0</v>
      </c>
      <c r="J101">
        <v>0</v>
      </c>
    </row>
    <row r="102" spans="1:10" x14ac:dyDescent="0.3">
      <c r="A102">
        <v>68</v>
      </c>
      <c r="B102" t="s">
        <v>243</v>
      </c>
      <c r="C102" s="1" t="s">
        <v>244</v>
      </c>
      <c r="D102" t="s">
        <v>191</v>
      </c>
      <c r="E102" t="s">
        <v>245</v>
      </c>
      <c r="G102">
        <v>100</v>
      </c>
      <c r="H102">
        <v>100</v>
      </c>
      <c r="I102">
        <v>0</v>
      </c>
      <c r="J102">
        <v>0</v>
      </c>
    </row>
    <row r="103" spans="1:10" x14ac:dyDescent="0.3">
      <c r="A103">
        <v>68</v>
      </c>
      <c r="B103" t="s">
        <v>320</v>
      </c>
      <c r="C103" s="1" t="s">
        <v>321</v>
      </c>
      <c r="D103" t="s">
        <v>52</v>
      </c>
      <c r="E103" t="s">
        <v>322</v>
      </c>
      <c r="G103">
        <v>100</v>
      </c>
      <c r="H103">
        <v>100</v>
      </c>
      <c r="I103">
        <v>0</v>
      </c>
      <c r="J103">
        <v>0</v>
      </c>
    </row>
    <row r="104" spans="1:10" x14ac:dyDescent="0.3">
      <c r="A104">
        <v>68</v>
      </c>
      <c r="B104" t="s">
        <v>447</v>
      </c>
      <c r="C104" s="1" t="s">
        <v>448</v>
      </c>
      <c r="D104" t="s">
        <v>81</v>
      </c>
      <c r="E104" t="s">
        <v>449</v>
      </c>
      <c r="G104">
        <v>100</v>
      </c>
      <c r="H104">
        <v>100</v>
      </c>
      <c r="I104">
        <v>0</v>
      </c>
      <c r="J104">
        <v>0</v>
      </c>
    </row>
    <row r="105" spans="1:10" x14ac:dyDescent="0.3">
      <c r="A105">
        <v>68</v>
      </c>
      <c r="B105" t="s">
        <v>157</v>
      </c>
      <c r="C105" s="1" t="s">
        <v>158</v>
      </c>
      <c r="D105" t="s">
        <v>81</v>
      </c>
      <c r="E105" t="s">
        <v>159</v>
      </c>
      <c r="G105">
        <v>100</v>
      </c>
      <c r="H105">
        <v>100</v>
      </c>
      <c r="I105">
        <v>0</v>
      </c>
      <c r="J105">
        <v>0</v>
      </c>
    </row>
    <row r="106" spans="1:10" x14ac:dyDescent="0.3">
      <c r="A106">
        <v>68</v>
      </c>
      <c r="B106" t="s">
        <v>430</v>
      </c>
      <c r="C106" s="1" t="s">
        <v>431</v>
      </c>
      <c r="D106" t="s">
        <v>258</v>
      </c>
      <c r="E106" t="s">
        <v>432</v>
      </c>
      <c r="G106">
        <v>100</v>
      </c>
      <c r="H106">
        <v>100</v>
      </c>
      <c r="I106">
        <v>0</v>
      </c>
      <c r="J106">
        <v>0</v>
      </c>
    </row>
    <row r="107" spans="1:10" x14ac:dyDescent="0.3">
      <c r="A107">
        <v>68</v>
      </c>
      <c r="B107" t="s">
        <v>36</v>
      </c>
      <c r="C107" s="1" t="s">
        <v>37</v>
      </c>
      <c r="D107" t="s">
        <v>16</v>
      </c>
      <c r="E107" t="s">
        <v>38</v>
      </c>
      <c r="G107">
        <v>100</v>
      </c>
      <c r="H107">
        <v>100</v>
      </c>
      <c r="I107">
        <v>0</v>
      </c>
      <c r="J107">
        <v>0</v>
      </c>
    </row>
    <row r="108" spans="1:10" x14ac:dyDescent="0.3">
      <c r="A108">
        <v>68</v>
      </c>
      <c r="B108" t="s">
        <v>456</v>
      </c>
      <c r="C108" s="1" t="s">
        <v>457</v>
      </c>
      <c r="D108" t="s">
        <v>178</v>
      </c>
      <c r="E108" t="s">
        <v>458</v>
      </c>
      <c r="G108">
        <v>100</v>
      </c>
      <c r="H108">
        <v>100</v>
      </c>
      <c r="I108">
        <v>0</v>
      </c>
      <c r="J108">
        <v>0</v>
      </c>
    </row>
    <row r="109" spans="1:10" x14ac:dyDescent="0.3">
      <c r="A109">
        <v>68</v>
      </c>
      <c r="B109" t="s">
        <v>391</v>
      </c>
      <c r="C109" s="1" t="s">
        <v>392</v>
      </c>
      <c r="D109" t="s">
        <v>178</v>
      </c>
      <c r="E109" t="s">
        <v>393</v>
      </c>
      <c r="G109">
        <v>100</v>
      </c>
      <c r="H109">
        <v>100</v>
      </c>
      <c r="I109">
        <v>0</v>
      </c>
      <c r="J109">
        <v>0</v>
      </c>
    </row>
    <row r="110" spans="1:10" x14ac:dyDescent="0.3">
      <c r="A110">
        <v>68</v>
      </c>
      <c r="B110" t="s">
        <v>102</v>
      </c>
      <c r="C110" s="1" t="s">
        <v>103</v>
      </c>
      <c r="D110" t="s">
        <v>104</v>
      </c>
      <c r="E110" t="s">
        <v>105</v>
      </c>
      <c r="G110">
        <v>100</v>
      </c>
      <c r="H110">
        <v>100</v>
      </c>
      <c r="I110">
        <v>0</v>
      </c>
      <c r="J110">
        <v>0</v>
      </c>
    </row>
    <row r="111" spans="1:10" x14ac:dyDescent="0.3">
      <c r="A111">
        <v>68</v>
      </c>
      <c r="B111" t="s">
        <v>532</v>
      </c>
      <c r="C111" s="1" t="s">
        <v>533</v>
      </c>
      <c r="D111" t="s">
        <v>534</v>
      </c>
      <c r="E111" t="s">
        <v>535</v>
      </c>
      <c r="G111">
        <v>100</v>
      </c>
      <c r="H111">
        <v>100</v>
      </c>
      <c r="I111">
        <v>0</v>
      </c>
      <c r="J111">
        <v>0</v>
      </c>
    </row>
    <row r="112" spans="1:10" x14ac:dyDescent="0.3">
      <c r="A112">
        <v>68</v>
      </c>
      <c r="B112" t="s">
        <v>30</v>
      </c>
      <c r="C112" s="1" t="s">
        <v>31</v>
      </c>
      <c r="D112" t="s">
        <v>20</v>
      </c>
      <c r="E112" t="s">
        <v>32</v>
      </c>
      <c r="G112">
        <v>100</v>
      </c>
      <c r="H112">
        <v>100</v>
      </c>
      <c r="I112">
        <v>0</v>
      </c>
      <c r="J112">
        <v>0</v>
      </c>
    </row>
    <row r="113" spans="1:10" x14ac:dyDescent="0.3">
      <c r="A113">
        <v>68</v>
      </c>
      <c r="B113" t="s">
        <v>186</v>
      </c>
      <c r="C113" s="1" t="s">
        <v>187</v>
      </c>
      <c r="D113" t="s">
        <v>81</v>
      </c>
      <c r="E113" t="s">
        <v>188</v>
      </c>
      <c r="G113">
        <v>100</v>
      </c>
      <c r="H113">
        <v>100</v>
      </c>
      <c r="I113">
        <v>0</v>
      </c>
      <c r="J113">
        <v>0</v>
      </c>
    </row>
    <row r="114" spans="1:10" x14ac:dyDescent="0.3">
      <c r="A114">
        <v>68</v>
      </c>
      <c r="B114" t="s">
        <v>274</v>
      </c>
      <c r="C114" s="1" t="s">
        <v>275</v>
      </c>
      <c r="D114" t="s">
        <v>60</v>
      </c>
      <c r="E114" t="s">
        <v>276</v>
      </c>
      <c r="G114">
        <v>100</v>
      </c>
      <c r="H114">
        <v>100</v>
      </c>
      <c r="I114">
        <v>0</v>
      </c>
      <c r="J114">
        <v>0</v>
      </c>
    </row>
    <row r="115" spans="1:10" x14ac:dyDescent="0.3">
      <c r="A115">
        <v>68</v>
      </c>
      <c r="B115" t="s">
        <v>18</v>
      </c>
      <c r="C115" s="1" t="s">
        <v>19</v>
      </c>
      <c r="D115" t="s">
        <v>20</v>
      </c>
      <c r="E115" t="s">
        <v>21</v>
      </c>
      <c r="G115">
        <v>100</v>
      </c>
      <c r="H115">
        <v>100</v>
      </c>
      <c r="I115">
        <v>0</v>
      </c>
      <c r="J115">
        <v>0</v>
      </c>
    </row>
    <row r="116" spans="1:10" x14ac:dyDescent="0.3">
      <c r="A116">
        <v>68</v>
      </c>
      <c r="B116" t="s">
        <v>269</v>
      </c>
      <c r="C116" s="1" t="s">
        <v>270</v>
      </c>
      <c r="D116" t="s">
        <v>81</v>
      </c>
      <c r="E116" t="s">
        <v>271</v>
      </c>
      <c r="G116">
        <v>100</v>
      </c>
      <c r="H116">
        <v>100</v>
      </c>
      <c r="I116">
        <v>0</v>
      </c>
      <c r="J116">
        <v>0</v>
      </c>
    </row>
    <row r="117" spans="1:10" x14ac:dyDescent="0.3">
      <c r="A117">
        <v>68</v>
      </c>
      <c r="B117" t="s">
        <v>466</v>
      </c>
      <c r="C117" s="1" t="s">
        <v>467</v>
      </c>
      <c r="D117" t="s">
        <v>48</v>
      </c>
      <c r="E117" t="s">
        <v>468</v>
      </c>
      <c r="G117">
        <v>100</v>
      </c>
      <c r="H117">
        <v>100</v>
      </c>
      <c r="I117">
        <v>0</v>
      </c>
      <c r="J117">
        <v>0</v>
      </c>
    </row>
    <row r="118" spans="1:10" x14ac:dyDescent="0.3">
      <c r="A118">
        <v>68</v>
      </c>
      <c r="B118" t="s">
        <v>249</v>
      </c>
      <c r="C118" s="1" t="s">
        <v>250</v>
      </c>
      <c r="D118" t="s">
        <v>191</v>
      </c>
      <c r="E118" t="s">
        <v>251</v>
      </c>
      <c r="G118">
        <v>100</v>
      </c>
      <c r="H118">
        <v>100</v>
      </c>
      <c r="I118">
        <v>0</v>
      </c>
      <c r="J118">
        <v>0</v>
      </c>
    </row>
    <row r="119" spans="1:10" x14ac:dyDescent="0.3">
      <c r="A119">
        <v>68</v>
      </c>
      <c r="B119" t="s">
        <v>73</v>
      </c>
      <c r="C119" s="1" t="s">
        <v>74</v>
      </c>
      <c r="D119" t="s">
        <v>28</v>
      </c>
      <c r="E119" t="s">
        <v>75</v>
      </c>
      <c r="G119">
        <v>100</v>
      </c>
      <c r="H119">
        <v>100</v>
      </c>
      <c r="I119">
        <v>0</v>
      </c>
      <c r="J119">
        <v>0</v>
      </c>
    </row>
    <row r="120" spans="1:10" x14ac:dyDescent="0.3">
      <c r="A120">
        <v>68</v>
      </c>
      <c r="B120" t="s">
        <v>348</v>
      </c>
      <c r="C120" s="1" t="s">
        <v>349</v>
      </c>
      <c r="D120" t="s">
        <v>81</v>
      </c>
      <c r="E120" t="s">
        <v>350</v>
      </c>
      <c r="G120">
        <v>100</v>
      </c>
      <c r="H120">
        <v>100</v>
      </c>
      <c r="I120">
        <v>0</v>
      </c>
      <c r="J120">
        <v>0</v>
      </c>
    </row>
    <row r="121" spans="1:10" x14ac:dyDescent="0.3">
      <c r="A121">
        <v>68</v>
      </c>
      <c r="B121" t="s">
        <v>234</v>
      </c>
      <c r="C121" s="1" t="s">
        <v>235</v>
      </c>
      <c r="D121" t="s">
        <v>20</v>
      </c>
      <c r="E121" t="s">
        <v>236</v>
      </c>
      <c r="G121">
        <v>100</v>
      </c>
      <c r="H121">
        <v>100</v>
      </c>
      <c r="I121">
        <v>0</v>
      </c>
      <c r="J121">
        <v>0</v>
      </c>
    </row>
    <row r="122" spans="1:10" x14ac:dyDescent="0.3">
      <c r="A122">
        <v>68</v>
      </c>
      <c r="B122" t="s">
        <v>459</v>
      </c>
      <c r="C122" s="1" t="s">
        <v>460</v>
      </c>
      <c r="D122" t="s">
        <v>461</v>
      </c>
      <c r="E122" t="s">
        <v>462</v>
      </c>
      <c r="G122">
        <v>100</v>
      </c>
      <c r="H122">
        <v>100</v>
      </c>
      <c r="I122">
        <v>0</v>
      </c>
      <c r="J122">
        <v>0</v>
      </c>
    </row>
    <row r="123" spans="1:10" x14ac:dyDescent="0.3">
      <c r="A123">
        <v>68</v>
      </c>
      <c r="B123" t="s">
        <v>463</v>
      </c>
      <c r="C123" s="1" t="s">
        <v>464</v>
      </c>
      <c r="D123" t="s">
        <v>191</v>
      </c>
      <c r="E123" t="s">
        <v>465</v>
      </c>
      <c r="G123">
        <v>100</v>
      </c>
      <c r="H123">
        <v>100</v>
      </c>
      <c r="I123">
        <v>0</v>
      </c>
      <c r="J123">
        <v>0</v>
      </c>
    </row>
    <row r="124" spans="1:10" x14ac:dyDescent="0.3">
      <c r="A124">
        <v>68</v>
      </c>
      <c r="B124" t="s">
        <v>453</v>
      </c>
      <c r="C124" s="1" t="s">
        <v>454</v>
      </c>
      <c r="D124" t="s">
        <v>81</v>
      </c>
      <c r="E124" t="s">
        <v>455</v>
      </c>
      <c r="G124">
        <v>100</v>
      </c>
      <c r="H124">
        <v>100</v>
      </c>
      <c r="I124">
        <v>0</v>
      </c>
      <c r="J124">
        <v>0</v>
      </c>
    </row>
    <row r="125" spans="1:10" x14ac:dyDescent="0.3">
      <c r="A125">
        <v>68</v>
      </c>
      <c r="B125" t="s">
        <v>479</v>
      </c>
      <c r="C125" s="1" t="s">
        <v>480</v>
      </c>
      <c r="D125" t="s">
        <v>81</v>
      </c>
      <c r="E125" t="s">
        <v>481</v>
      </c>
      <c r="G125">
        <v>100</v>
      </c>
      <c r="H125">
        <v>100</v>
      </c>
      <c r="I125">
        <v>0</v>
      </c>
      <c r="J125">
        <v>0</v>
      </c>
    </row>
    <row r="126" spans="1:10" x14ac:dyDescent="0.3">
      <c r="A126">
        <v>68</v>
      </c>
      <c r="B126" t="s">
        <v>497</v>
      </c>
      <c r="C126" s="1" t="s">
        <v>498</v>
      </c>
      <c r="D126" t="s">
        <v>282</v>
      </c>
      <c r="E126" t="s">
        <v>499</v>
      </c>
      <c r="G126">
        <v>100</v>
      </c>
      <c r="H126">
        <v>100</v>
      </c>
      <c r="I126">
        <v>0</v>
      </c>
      <c r="J126">
        <v>0</v>
      </c>
    </row>
    <row r="127" spans="1:10" x14ac:dyDescent="0.3">
      <c r="A127">
        <v>68</v>
      </c>
      <c r="B127" t="s">
        <v>110</v>
      </c>
      <c r="C127" s="1" t="s">
        <v>111</v>
      </c>
      <c r="D127" t="s">
        <v>96</v>
      </c>
      <c r="E127" t="s">
        <v>112</v>
      </c>
      <c r="G127">
        <v>100</v>
      </c>
      <c r="H127">
        <v>100</v>
      </c>
      <c r="I127">
        <v>0</v>
      </c>
      <c r="J127">
        <v>0</v>
      </c>
    </row>
    <row r="128" spans="1:10" x14ac:dyDescent="0.3">
      <c r="A128">
        <v>68</v>
      </c>
      <c r="B128" t="s">
        <v>519</v>
      </c>
      <c r="C128" s="1" t="s">
        <v>520</v>
      </c>
      <c r="D128" t="s">
        <v>521</v>
      </c>
      <c r="E128" t="s">
        <v>522</v>
      </c>
      <c r="G128">
        <v>100</v>
      </c>
      <c r="H128">
        <v>100</v>
      </c>
      <c r="I128">
        <v>0</v>
      </c>
      <c r="J128">
        <v>0</v>
      </c>
    </row>
    <row r="129" spans="1:10" x14ac:dyDescent="0.3">
      <c r="A129">
        <v>128</v>
      </c>
      <c r="B129" t="s">
        <v>145</v>
      </c>
      <c r="C129" s="1" t="s">
        <v>146</v>
      </c>
      <c r="D129" t="s">
        <v>147</v>
      </c>
      <c r="E129" t="s">
        <v>148</v>
      </c>
      <c r="G129">
        <v>90</v>
      </c>
      <c r="H129">
        <v>90</v>
      </c>
      <c r="I129">
        <v>0</v>
      </c>
      <c r="J129">
        <v>0</v>
      </c>
    </row>
    <row r="130" spans="1:10" x14ac:dyDescent="0.3">
      <c r="A130">
        <v>129</v>
      </c>
      <c r="B130" t="s">
        <v>563</v>
      </c>
      <c r="C130" s="1" t="s">
        <v>564</v>
      </c>
      <c r="D130" t="s">
        <v>216</v>
      </c>
      <c r="E130" t="s">
        <v>565</v>
      </c>
      <c r="G130">
        <v>75</v>
      </c>
      <c r="H130">
        <v>75</v>
      </c>
      <c r="I130">
        <v>0</v>
      </c>
      <c r="J130">
        <v>0</v>
      </c>
    </row>
    <row r="131" spans="1:10" x14ac:dyDescent="0.3">
      <c r="A131">
        <v>130</v>
      </c>
      <c r="B131" t="s">
        <v>440</v>
      </c>
      <c r="C131" s="1" t="s">
        <v>441</v>
      </c>
      <c r="D131" t="s">
        <v>442</v>
      </c>
      <c r="E131" t="s">
        <v>443</v>
      </c>
      <c r="G131">
        <v>70</v>
      </c>
      <c r="H131">
        <v>70</v>
      </c>
      <c r="I131">
        <v>0</v>
      </c>
      <c r="J131">
        <v>0</v>
      </c>
    </row>
    <row r="132" spans="1:10" x14ac:dyDescent="0.3">
      <c r="A132">
        <v>130</v>
      </c>
      <c r="B132" t="s">
        <v>400</v>
      </c>
      <c r="C132" s="1" t="s">
        <v>401</v>
      </c>
      <c r="D132" t="s">
        <v>89</v>
      </c>
      <c r="E132" t="s">
        <v>402</v>
      </c>
      <c r="G132">
        <v>70</v>
      </c>
      <c r="H132">
        <v>70</v>
      </c>
      <c r="I132">
        <v>0</v>
      </c>
      <c r="J132">
        <v>0</v>
      </c>
    </row>
    <row r="133" spans="1:10" x14ac:dyDescent="0.3">
      <c r="A133">
        <v>130</v>
      </c>
      <c r="B133" t="s">
        <v>341</v>
      </c>
      <c r="C133" s="1" t="s">
        <v>342</v>
      </c>
      <c r="D133" t="s">
        <v>147</v>
      </c>
      <c r="E133" t="s">
        <v>343</v>
      </c>
      <c r="G133">
        <v>70</v>
      </c>
      <c r="H133">
        <v>70</v>
      </c>
      <c r="I133">
        <v>0</v>
      </c>
      <c r="J133">
        <v>0</v>
      </c>
    </row>
    <row r="134" spans="1:10" x14ac:dyDescent="0.3">
      <c r="A134">
        <v>130</v>
      </c>
      <c r="B134" t="s">
        <v>494</v>
      </c>
      <c r="C134" s="1" t="s">
        <v>495</v>
      </c>
      <c r="D134" t="s">
        <v>178</v>
      </c>
      <c r="E134" t="s">
        <v>496</v>
      </c>
      <c r="G134">
        <v>70</v>
      </c>
      <c r="H134">
        <v>70</v>
      </c>
      <c r="I134">
        <v>0</v>
      </c>
      <c r="J134">
        <v>0</v>
      </c>
    </row>
    <row r="135" spans="1:10" x14ac:dyDescent="0.3">
      <c r="A135">
        <v>130</v>
      </c>
      <c r="B135" t="s">
        <v>560</v>
      </c>
      <c r="C135" s="1" t="s">
        <v>561</v>
      </c>
      <c r="D135" t="s">
        <v>216</v>
      </c>
      <c r="E135" t="s">
        <v>562</v>
      </c>
      <c r="G135">
        <v>70</v>
      </c>
      <c r="H135">
        <v>70</v>
      </c>
      <c r="I135">
        <v>0</v>
      </c>
      <c r="J135">
        <v>0</v>
      </c>
    </row>
    <row r="136" spans="1:10" x14ac:dyDescent="0.3">
      <c r="A136">
        <v>130</v>
      </c>
      <c r="B136" t="s">
        <v>510</v>
      </c>
      <c r="C136" s="1" t="s">
        <v>511</v>
      </c>
      <c r="D136" t="s">
        <v>425</v>
      </c>
      <c r="E136" t="s">
        <v>512</v>
      </c>
      <c r="G136">
        <v>70</v>
      </c>
      <c r="H136">
        <v>70</v>
      </c>
      <c r="I136">
        <v>0</v>
      </c>
      <c r="J136">
        <v>0</v>
      </c>
    </row>
    <row r="137" spans="1:10" x14ac:dyDescent="0.3">
      <c r="A137">
        <v>130</v>
      </c>
      <c r="B137" t="s">
        <v>323</v>
      </c>
      <c r="C137" s="1" t="s">
        <v>324</v>
      </c>
      <c r="D137" t="s">
        <v>178</v>
      </c>
      <c r="E137" t="s">
        <v>325</v>
      </c>
      <c r="G137">
        <v>70</v>
      </c>
      <c r="H137">
        <v>70</v>
      </c>
      <c r="I137">
        <v>0</v>
      </c>
      <c r="J137">
        <v>0</v>
      </c>
    </row>
    <row r="138" spans="1:10" x14ac:dyDescent="0.3">
      <c r="A138">
        <v>130</v>
      </c>
      <c r="B138" t="s">
        <v>313</v>
      </c>
      <c r="C138" s="1" t="s">
        <v>314</v>
      </c>
      <c r="D138" t="s">
        <v>315</v>
      </c>
      <c r="E138" t="s">
        <v>316</v>
      </c>
      <c r="G138">
        <v>70</v>
      </c>
      <c r="H138">
        <v>70</v>
      </c>
      <c r="I138">
        <v>0</v>
      </c>
      <c r="J138">
        <v>0</v>
      </c>
    </row>
    <row r="139" spans="1:10" x14ac:dyDescent="0.3">
      <c r="A139">
        <v>130</v>
      </c>
      <c r="B139" t="s">
        <v>293</v>
      </c>
      <c r="C139" s="1" t="s">
        <v>294</v>
      </c>
      <c r="D139" t="s">
        <v>216</v>
      </c>
      <c r="E139" t="s">
        <v>295</v>
      </c>
      <c r="G139">
        <v>70</v>
      </c>
      <c r="H139">
        <v>70</v>
      </c>
      <c r="I139">
        <v>0</v>
      </c>
      <c r="J139">
        <v>0</v>
      </c>
    </row>
    <row r="140" spans="1:10" x14ac:dyDescent="0.3">
      <c r="A140">
        <v>130</v>
      </c>
      <c r="B140" t="s">
        <v>287</v>
      </c>
      <c r="C140" s="1" t="s">
        <v>288</v>
      </c>
      <c r="D140" t="s">
        <v>178</v>
      </c>
      <c r="E140" t="s">
        <v>289</v>
      </c>
      <c r="G140">
        <v>70</v>
      </c>
      <c r="H140">
        <v>70</v>
      </c>
      <c r="I140">
        <v>0</v>
      </c>
      <c r="J140">
        <v>0</v>
      </c>
    </row>
    <row r="141" spans="1:10" x14ac:dyDescent="0.3">
      <c r="A141">
        <v>130</v>
      </c>
      <c r="B141" t="s">
        <v>550</v>
      </c>
      <c r="C141" s="1" t="s">
        <v>551</v>
      </c>
      <c r="D141" t="s">
        <v>223</v>
      </c>
      <c r="E141" t="s">
        <v>552</v>
      </c>
      <c r="G141">
        <v>70</v>
      </c>
      <c r="H141">
        <v>70</v>
      </c>
      <c r="I141">
        <v>0</v>
      </c>
      <c r="J141">
        <v>0</v>
      </c>
    </row>
    <row r="142" spans="1:10" x14ac:dyDescent="0.3">
      <c r="A142">
        <v>141</v>
      </c>
      <c r="B142" t="s">
        <v>266</v>
      </c>
      <c r="C142" s="1" t="s">
        <v>267</v>
      </c>
      <c r="D142" t="s">
        <v>178</v>
      </c>
      <c r="E142" t="s">
        <v>268</v>
      </c>
      <c r="G142">
        <v>40</v>
      </c>
      <c r="H142">
        <v>40</v>
      </c>
      <c r="I142">
        <v>0</v>
      </c>
      <c r="J142">
        <v>0</v>
      </c>
    </row>
    <row r="143" spans="1:10" x14ac:dyDescent="0.3">
      <c r="A143">
        <v>141</v>
      </c>
      <c r="B143" t="s">
        <v>412</v>
      </c>
      <c r="C143" s="1" t="s">
        <v>413</v>
      </c>
      <c r="D143" t="s">
        <v>414</v>
      </c>
      <c r="E143" t="s">
        <v>415</v>
      </c>
      <c r="G143">
        <v>40</v>
      </c>
      <c r="H143">
        <v>40</v>
      </c>
      <c r="I143">
        <v>0</v>
      </c>
      <c r="J143">
        <v>0</v>
      </c>
    </row>
    <row r="144" spans="1:10" x14ac:dyDescent="0.3">
      <c r="A144">
        <v>143</v>
      </c>
      <c r="B144" t="s">
        <v>469</v>
      </c>
      <c r="C144" s="1" t="s">
        <v>470</v>
      </c>
      <c r="D144" t="s">
        <v>471</v>
      </c>
      <c r="E144" t="s">
        <v>472</v>
      </c>
      <c r="G144">
        <v>25</v>
      </c>
      <c r="H144">
        <v>25</v>
      </c>
      <c r="I144">
        <v>0</v>
      </c>
      <c r="J144">
        <v>0</v>
      </c>
    </row>
    <row r="145" spans="1:10" x14ac:dyDescent="0.3">
      <c r="A145">
        <v>143</v>
      </c>
      <c r="B145" t="s">
        <v>120</v>
      </c>
      <c r="C145" s="1" t="s">
        <v>121</v>
      </c>
      <c r="D145" t="s">
        <v>122</v>
      </c>
      <c r="E145" t="s">
        <v>123</v>
      </c>
      <c r="G145">
        <v>25</v>
      </c>
      <c r="H145">
        <v>0</v>
      </c>
      <c r="I145">
        <v>0</v>
      </c>
      <c r="J145">
        <v>25</v>
      </c>
    </row>
    <row r="146" spans="1:10" x14ac:dyDescent="0.3">
      <c r="A146">
        <v>145</v>
      </c>
      <c r="B146" t="s">
        <v>317</v>
      </c>
      <c r="C146" s="1" t="s">
        <v>318</v>
      </c>
      <c r="D146" t="s">
        <v>178</v>
      </c>
      <c r="E146" t="s">
        <v>319</v>
      </c>
      <c r="G146">
        <v>20</v>
      </c>
      <c r="H146">
        <v>20</v>
      </c>
      <c r="I146">
        <v>0</v>
      </c>
      <c r="J146">
        <v>0</v>
      </c>
    </row>
    <row r="147" spans="1:10" x14ac:dyDescent="0.3">
      <c r="A147">
        <v>145</v>
      </c>
      <c r="B147" t="s">
        <v>450</v>
      </c>
      <c r="C147" s="1" t="s">
        <v>451</v>
      </c>
      <c r="D147" t="s">
        <v>305</v>
      </c>
      <c r="E147" t="s">
        <v>452</v>
      </c>
      <c r="G147">
        <v>20</v>
      </c>
      <c r="H147">
        <v>20</v>
      </c>
      <c r="I147">
        <v>0</v>
      </c>
      <c r="J147">
        <v>0</v>
      </c>
    </row>
    <row r="148" spans="1:10" x14ac:dyDescent="0.3">
      <c r="A148">
        <v>147</v>
      </c>
      <c r="B148" t="s">
        <v>485</v>
      </c>
      <c r="C148" s="1" t="s">
        <v>486</v>
      </c>
      <c r="D148" t="s">
        <v>89</v>
      </c>
      <c r="E148" t="s">
        <v>487</v>
      </c>
      <c r="G148">
        <v>15</v>
      </c>
      <c r="H148">
        <v>5</v>
      </c>
      <c r="I148">
        <v>0</v>
      </c>
      <c r="J148">
        <v>10</v>
      </c>
    </row>
    <row r="149" spans="1:10" x14ac:dyDescent="0.3">
      <c r="A149">
        <v>148</v>
      </c>
      <c r="B149" t="s">
        <v>381</v>
      </c>
      <c r="C149" s="1" t="s">
        <v>382</v>
      </c>
      <c r="D149" t="s">
        <v>383</v>
      </c>
      <c r="E149" t="s">
        <v>384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>
        <v>148</v>
      </c>
      <c r="B150" t="s">
        <v>420</v>
      </c>
      <c r="C150" s="1" t="s">
        <v>421</v>
      </c>
      <c r="D150" t="s">
        <v>305</v>
      </c>
      <c r="E150" t="s">
        <v>422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>
        <v>148</v>
      </c>
      <c r="B151" t="s">
        <v>504</v>
      </c>
      <c r="C151" s="1" t="s">
        <v>505</v>
      </c>
      <c r="D151" t="s">
        <v>178</v>
      </c>
      <c r="E151" t="s">
        <v>506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>
        <v>148</v>
      </c>
      <c r="B152" t="s">
        <v>416</v>
      </c>
      <c r="C152" s="1" t="s">
        <v>417</v>
      </c>
      <c r="D152" t="s">
        <v>418</v>
      </c>
      <c r="E152" t="s">
        <v>419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>
        <v>148</v>
      </c>
      <c r="B153" t="s">
        <v>516</v>
      </c>
      <c r="C153" s="1" t="s">
        <v>517</v>
      </c>
      <c r="D153" t="s">
        <v>442</v>
      </c>
      <c r="E153" t="s">
        <v>518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>
        <v>148</v>
      </c>
      <c r="B154" t="s">
        <v>303</v>
      </c>
      <c r="C154" s="1" t="s">
        <v>304</v>
      </c>
      <c r="D154" t="s">
        <v>305</v>
      </c>
      <c r="E154" t="s">
        <v>306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>
        <v>148</v>
      </c>
      <c r="B155" t="s">
        <v>409</v>
      </c>
      <c r="C155" s="1" t="s">
        <v>410</v>
      </c>
      <c r="D155" t="s">
        <v>16</v>
      </c>
      <c r="E155" t="s">
        <v>411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>
        <v>148</v>
      </c>
      <c r="B156" t="s">
        <v>367</v>
      </c>
      <c r="C156" s="1" t="s">
        <v>368</v>
      </c>
      <c r="D156" t="s">
        <v>369</v>
      </c>
      <c r="E156" t="s">
        <v>370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>
        <v>148</v>
      </c>
      <c r="B157" t="s">
        <v>473</v>
      </c>
      <c r="C157" s="1" t="s">
        <v>474</v>
      </c>
      <c r="D157" t="s">
        <v>100</v>
      </c>
      <c r="E157" t="s">
        <v>475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>
        <v>148</v>
      </c>
      <c r="B158" t="s">
        <v>62</v>
      </c>
      <c r="C158" s="1" t="s">
        <v>63</v>
      </c>
      <c r="D158" t="s">
        <v>64</v>
      </c>
      <c r="E158" t="s">
        <v>65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>
        <v>148</v>
      </c>
      <c r="B159" t="s">
        <v>263</v>
      </c>
      <c r="C159" s="1" t="s">
        <v>264</v>
      </c>
      <c r="D159" t="s">
        <v>147</v>
      </c>
      <c r="E159" t="s">
        <v>265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>
        <v>148</v>
      </c>
      <c r="B160" t="s">
        <v>575</v>
      </c>
      <c r="C160" s="1" t="s">
        <v>576</v>
      </c>
      <c r="D160" t="s">
        <v>577</v>
      </c>
      <c r="E160" t="s">
        <v>578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>
        <v>148</v>
      </c>
      <c r="B161" t="s">
        <v>585</v>
      </c>
      <c r="C161" s="1" t="s">
        <v>586</v>
      </c>
      <c r="D161" t="s">
        <v>81</v>
      </c>
      <c r="E161" t="s">
        <v>587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>
        <v>148</v>
      </c>
      <c r="B162" t="s">
        <v>543</v>
      </c>
      <c r="C162" s="1" t="s">
        <v>544</v>
      </c>
      <c r="D162" t="s">
        <v>191</v>
      </c>
      <c r="E162" t="s">
        <v>545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>
        <v>148</v>
      </c>
      <c r="B163" t="s">
        <v>231</v>
      </c>
      <c r="C163" s="1" t="s">
        <v>232</v>
      </c>
      <c r="D163" t="s">
        <v>20</v>
      </c>
      <c r="E163" t="s">
        <v>233</v>
      </c>
      <c r="G163">
        <v>0</v>
      </c>
      <c r="H163">
        <v>0</v>
      </c>
      <c r="I163">
        <v>0</v>
      </c>
      <c r="J163">
        <v>0</v>
      </c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  <hyperlink ref="C10" r:id="rId9" xr:uid="{00000000-0004-0000-0700-000008000000}"/>
    <hyperlink ref="C11" r:id="rId10" xr:uid="{00000000-0004-0000-0700-000009000000}"/>
    <hyperlink ref="C12" r:id="rId11" xr:uid="{00000000-0004-0000-0700-00000A000000}"/>
    <hyperlink ref="C13" r:id="rId12" xr:uid="{00000000-0004-0000-0700-00000B000000}"/>
    <hyperlink ref="C14" r:id="rId13" xr:uid="{00000000-0004-0000-0700-00000C000000}"/>
    <hyperlink ref="C15" r:id="rId14" xr:uid="{00000000-0004-0000-0700-00000D000000}"/>
    <hyperlink ref="C16" r:id="rId15" xr:uid="{00000000-0004-0000-0700-00000E000000}"/>
    <hyperlink ref="C17" r:id="rId16" xr:uid="{00000000-0004-0000-0700-00000F000000}"/>
    <hyperlink ref="C18" r:id="rId17" xr:uid="{00000000-0004-0000-0700-000010000000}"/>
    <hyperlink ref="C19" r:id="rId18" xr:uid="{00000000-0004-0000-0700-000011000000}"/>
    <hyperlink ref="C20" r:id="rId19" xr:uid="{00000000-0004-0000-0700-000012000000}"/>
    <hyperlink ref="C21" r:id="rId20" xr:uid="{00000000-0004-0000-0700-000013000000}"/>
    <hyperlink ref="C22" r:id="rId21" xr:uid="{00000000-0004-0000-0700-000014000000}"/>
    <hyperlink ref="C23" r:id="rId22" xr:uid="{00000000-0004-0000-0700-000015000000}"/>
    <hyperlink ref="C24" r:id="rId23" xr:uid="{00000000-0004-0000-0700-000016000000}"/>
    <hyperlink ref="C25" r:id="rId24" xr:uid="{00000000-0004-0000-0700-000017000000}"/>
    <hyperlink ref="C26" r:id="rId25" xr:uid="{00000000-0004-0000-0700-000018000000}"/>
    <hyperlink ref="C27" r:id="rId26" xr:uid="{00000000-0004-0000-0700-000019000000}"/>
    <hyperlink ref="C28" r:id="rId27" xr:uid="{00000000-0004-0000-0700-00001A000000}"/>
    <hyperlink ref="C29" r:id="rId28" xr:uid="{00000000-0004-0000-0700-00001B000000}"/>
    <hyperlink ref="C30" r:id="rId29" xr:uid="{00000000-0004-0000-0700-00001C000000}"/>
    <hyperlink ref="C31" r:id="rId30" xr:uid="{00000000-0004-0000-0700-00001D000000}"/>
    <hyperlink ref="C32" r:id="rId31" xr:uid="{00000000-0004-0000-0700-00001E000000}"/>
    <hyperlink ref="C33" r:id="rId32" xr:uid="{00000000-0004-0000-0700-00001F000000}"/>
    <hyperlink ref="C34" r:id="rId33" xr:uid="{00000000-0004-0000-0700-000020000000}"/>
    <hyperlink ref="C35" r:id="rId34" xr:uid="{00000000-0004-0000-0700-000021000000}"/>
    <hyperlink ref="C36" r:id="rId35" xr:uid="{00000000-0004-0000-0700-000022000000}"/>
    <hyperlink ref="C37" r:id="rId36" xr:uid="{00000000-0004-0000-0700-000023000000}"/>
    <hyperlink ref="C38" r:id="rId37" xr:uid="{00000000-0004-0000-0700-000024000000}"/>
    <hyperlink ref="C39" r:id="rId38" xr:uid="{00000000-0004-0000-0700-000025000000}"/>
    <hyperlink ref="C40" r:id="rId39" xr:uid="{00000000-0004-0000-0700-000026000000}"/>
    <hyperlink ref="C41" r:id="rId40" xr:uid="{00000000-0004-0000-0700-000027000000}"/>
    <hyperlink ref="C42" r:id="rId41" xr:uid="{00000000-0004-0000-0700-000028000000}"/>
    <hyperlink ref="C43" r:id="rId42" xr:uid="{00000000-0004-0000-0700-000029000000}"/>
    <hyperlink ref="C44" r:id="rId43" xr:uid="{00000000-0004-0000-0700-00002A000000}"/>
    <hyperlink ref="C45" r:id="rId44" xr:uid="{00000000-0004-0000-0700-00002B000000}"/>
    <hyperlink ref="C46" r:id="rId45" xr:uid="{00000000-0004-0000-0700-00002C000000}"/>
    <hyperlink ref="C47" r:id="rId46" xr:uid="{00000000-0004-0000-0700-00002D000000}"/>
    <hyperlink ref="C48" r:id="rId47" xr:uid="{00000000-0004-0000-0700-00002E000000}"/>
    <hyperlink ref="C49" r:id="rId48" xr:uid="{00000000-0004-0000-0700-00002F000000}"/>
    <hyperlink ref="C50" r:id="rId49" xr:uid="{00000000-0004-0000-0700-000030000000}"/>
    <hyperlink ref="C51" r:id="rId50" xr:uid="{00000000-0004-0000-0700-000031000000}"/>
    <hyperlink ref="C52" r:id="rId51" xr:uid="{00000000-0004-0000-0700-000032000000}"/>
    <hyperlink ref="C53" r:id="rId52" xr:uid="{00000000-0004-0000-0700-000033000000}"/>
    <hyperlink ref="C54" r:id="rId53" xr:uid="{00000000-0004-0000-0700-000034000000}"/>
    <hyperlink ref="C55" r:id="rId54" xr:uid="{00000000-0004-0000-0700-000035000000}"/>
    <hyperlink ref="C56" r:id="rId55" xr:uid="{00000000-0004-0000-0700-000036000000}"/>
    <hyperlink ref="C57" r:id="rId56" xr:uid="{00000000-0004-0000-0700-000037000000}"/>
    <hyperlink ref="C58" r:id="rId57" xr:uid="{00000000-0004-0000-0700-000038000000}"/>
    <hyperlink ref="C59" r:id="rId58" xr:uid="{00000000-0004-0000-0700-000039000000}"/>
    <hyperlink ref="C60" r:id="rId59" xr:uid="{00000000-0004-0000-0700-00003A000000}"/>
    <hyperlink ref="C61" r:id="rId60" xr:uid="{00000000-0004-0000-0700-00003B000000}"/>
    <hyperlink ref="C62" r:id="rId61" xr:uid="{00000000-0004-0000-0700-00003C000000}"/>
    <hyperlink ref="C63" r:id="rId62" xr:uid="{00000000-0004-0000-0700-00003D000000}"/>
    <hyperlink ref="C64" r:id="rId63" xr:uid="{00000000-0004-0000-0700-00003E000000}"/>
    <hyperlink ref="C65" r:id="rId64" xr:uid="{00000000-0004-0000-0700-00003F000000}"/>
    <hyperlink ref="C66" r:id="rId65" xr:uid="{00000000-0004-0000-0700-000040000000}"/>
    <hyperlink ref="C67" r:id="rId66" xr:uid="{00000000-0004-0000-0700-000041000000}"/>
    <hyperlink ref="C68" r:id="rId67" xr:uid="{00000000-0004-0000-0700-000042000000}"/>
    <hyperlink ref="C69" r:id="rId68" xr:uid="{00000000-0004-0000-0700-000043000000}"/>
    <hyperlink ref="C70" r:id="rId69" xr:uid="{00000000-0004-0000-0700-000044000000}"/>
    <hyperlink ref="C71" r:id="rId70" xr:uid="{00000000-0004-0000-0700-000045000000}"/>
    <hyperlink ref="C72" r:id="rId71" xr:uid="{00000000-0004-0000-0700-000046000000}"/>
    <hyperlink ref="C73" r:id="rId72" xr:uid="{00000000-0004-0000-0700-000047000000}"/>
    <hyperlink ref="C74" r:id="rId73" xr:uid="{00000000-0004-0000-0700-000048000000}"/>
    <hyperlink ref="C75" r:id="rId74" xr:uid="{00000000-0004-0000-0700-000049000000}"/>
    <hyperlink ref="C76" r:id="rId75" xr:uid="{00000000-0004-0000-0700-00004A000000}"/>
    <hyperlink ref="C77" r:id="rId76" xr:uid="{00000000-0004-0000-0700-00004B000000}"/>
    <hyperlink ref="C78" r:id="rId77" xr:uid="{00000000-0004-0000-0700-00004C000000}"/>
    <hyperlink ref="C79" r:id="rId78" xr:uid="{00000000-0004-0000-0700-00004D000000}"/>
    <hyperlink ref="C80" r:id="rId79" xr:uid="{00000000-0004-0000-0700-00004E000000}"/>
    <hyperlink ref="C81" r:id="rId80" xr:uid="{00000000-0004-0000-0700-00004F000000}"/>
    <hyperlink ref="C82" r:id="rId81" xr:uid="{00000000-0004-0000-0700-000050000000}"/>
    <hyperlink ref="C83" r:id="rId82" xr:uid="{00000000-0004-0000-0700-000051000000}"/>
    <hyperlink ref="C84" r:id="rId83" xr:uid="{00000000-0004-0000-0700-000052000000}"/>
    <hyperlink ref="C85" r:id="rId84" xr:uid="{00000000-0004-0000-0700-000053000000}"/>
    <hyperlink ref="C86" r:id="rId85" xr:uid="{00000000-0004-0000-0700-000054000000}"/>
    <hyperlink ref="C87" r:id="rId86" xr:uid="{00000000-0004-0000-0700-000055000000}"/>
    <hyperlink ref="C88" r:id="rId87" xr:uid="{00000000-0004-0000-0700-000056000000}"/>
    <hyperlink ref="C89" r:id="rId88" xr:uid="{00000000-0004-0000-0700-000057000000}"/>
    <hyperlink ref="C90" r:id="rId89" xr:uid="{00000000-0004-0000-0700-000058000000}"/>
    <hyperlink ref="C91" r:id="rId90" xr:uid="{00000000-0004-0000-0700-000059000000}"/>
    <hyperlink ref="C92" r:id="rId91" xr:uid="{00000000-0004-0000-0700-00005A000000}"/>
    <hyperlink ref="C93" r:id="rId92" xr:uid="{00000000-0004-0000-0700-00005B000000}"/>
    <hyperlink ref="C94" r:id="rId93" xr:uid="{00000000-0004-0000-0700-00005C000000}"/>
    <hyperlink ref="C95" r:id="rId94" xr:uid="{00000000-0004-0000-0700-00005D000000}"/>
    <hyperlink ref="C96" r:id="rId95" xr:uid="{00000000-0004-0000-0700-00005E000000}"/>
    <hyperlink ref="C97" r:id="rId96" xr:uid="{00000000-0004-0000-0700-00005F000000}"/>
    <hyperlink ref="C98" r:id="rId97" xr:uid="{00000000-0004-0000-0700-000060000000}"/>
    <hyperlink ref="C99" r:id="rId98" xr:uid="{00000000-0004-0000-0700-000061000000}"/>
    <hyperlink ref="C100" r:id="rId99" xr:uid="{00000000-0004-0000-0700-000062000000}"/>
    <hyperlink ref="C101" r:id="rId100" xr:uid="{00000000-0004-0000-0700-000063000000}"/>
    <hyperlink ref="C102" r:id="rId101" xr:uid="{00000000-0004-0000-0700-000064000000}"/>
    <hyperlink ref="C103" r:id="rId102" xr:uid="{00000000-0004-0000-0700-000065000000}"/>
    <hyperlink ref="C104" r:id="rId103" xr:uid="{00000000-0004-0000-0700-000066000000}"/>
    <hyperlink ref="C105" r:id="rId104" xr:uid="{00000000-0004-0000-0700-000067000000}"/>
    <hyperlink ref="C106" r:id="rId105" xr:uid="{00000000-0004-0000-0700-000068000000}"/>
    <hyperlink ref="C107" r:id="rId106" xr:uid="{00000000-0004-0000-0700-000069000000}"/>
    <hyperlink ref="C108" r:id="rId107" xr:uid="{00000000-0004-0000-0700-00006A000000}"/>
    <hyperlink ref="C109" r:id="rId108" xr:uid="{00000000-0004-0000-0700-00006B000000}"/>
    <hyperlink ref="C110" r:id="rId109" xr:uid="{00000000-0004-0000-0700-00006C000000}"/>
    <hyperlink ref="C111" r:id="rId110" xr:uid="{00000000-0004-0000-0700-00006D000000}"/>
    <hyperlink ref="C112" r:id="rId111" xr:uid="{00000000-0004-0000-0700-00006E000000}"/>
    <hyperlink ref="C113" r:id="rId112" xr:uid="{00000000-0004-0000-0700-00006F000000}"/>
    <hyperlink ref="C114" r:id="rId113" xr:uid="{00000000-0004-0000-0700-000070000000}"/>
    <hyperlink ref="C115" r:id="rId114" xr:uid="{00000000-0004-0000-0700-000071000000}"/>
    <hyperlink ref="C116" r:id="rId115" xr:uid="{00000000-0004-0000-0700-000072000000}"/>
    <hyperlink ref="C117" r:id="rId116" xr:uid="{00000000-0004-0000-0700-000073000000}"/>
    <hyperlink ref="C118" r:id="rId117" xr:uid="{00000000-0004-0000-0700-000074000000}"/>
    <hyperlink ref="C119" r:id="rId118" xr:uid="{00000000-0004-0000-0700-000075000000}"/>
    <hyperlink ref="C120" r:id="rId119" xr:uid="{00000000-0004-0000-0700-000076000000}"/>
    <hyperlink ref="C121" r:id="rId120" xr:uid="{00000000-0004-0000-0700-000077000000}"/>
    <hyperlink ref="C122" r:id="rId121" xr:uid="{00000000-0004-0000-0700-000078000000}"/>
    <hyperlink ref="C123" r:id="rId122" xr:uid="{00000000-0004-0000-0700-000079000000}"/>
    <hyperlink ref="C124" r:id="rId123" xr:uid="{00000000-0004-0000-0700-00007A000000}"/>
    <hyperlink ref="C125" r:id="rId124" xr:uid="{00000000-0004-0000-0700-00007B000000}"/>
    <hyperlink ref="C126" r:id="rId125" xr:uid="{00000000-0004-0000-0700-00007C000000}"/>
    <hyperlink ref="C127" r:id="rId126" xr:uid="{00000000-0004-0000-0700-00007D000000}"/>
    <hyperlink ref="C128" r:id="rId127" xr:uid="{00000000-0004-0000-0700-00007E000000}"/>
    <hyperlink ref="C129" r:id="rId128" xr:uid="{00000000-0004-0000-0700-00007F000000}"/>
    <hyperlink ref="C130" r:id="rId129" xr:uid="{00000000-0004-0000-0700-000080000000}"/>
    <hyperlink ref="C131" r:id="rId130" xr:uid="{00000000-0004-0000-0700-000081000000}"/>
    <hyperlink ref="C132" r:id="rId131" xr:uid="{00000000-0004-0000-0700-000082000000}"/>
    <hyperlink ref="C133" r:id="rId132" xr:uid="{00000000-0004-0000-0700-000083000000}"/>
    <hyperlink ref="C134" r:id="rId133" xr:uid="{00000000-0004-0000-0700-000084000000}"/>
    <hyperlink ref="C135" r:id="rId134" xr:uid="{00000000-0004-0000-0700-000085000000}"/>
    <hyperlink ref="C136" r:id="rId135" xr:uid="{00000000-0004-0000-0700-000086000000}"/>
    <hyperlink ref="C137" r:id="rId136" xr:uid="{00000000-0004-0000-0700-000087000000}"/>
    <hyperlink ref="C138" r:id="rId137" xr:uid="{00000000-0004-0000-0700-000088000000}"/>
    <hyperlink ref="C139" r:id="rId138" xr:uid="{00000000-0004-0000-0700-000089000000}"/>
    <hyperlink ref="C140" r:id="rId139" xr:uid="{00000000-0004-0000-0700-00008A000000}"/>
    <hyperlink ref="C141" r:id="rId140" xr:uid="{00000000-0004-0000-0700-00008B000000}"/>
    <hyperlink ref="C142" r:id="rId141" xr:uid="{00000000-0004-0000-0700-00008C000000}"/>
    <hyperlink ref="C143" r:id="rId142" xr:uid="{00000000-0004-0000-0700-00008D000000}"/>
    <hyperlink ref="C144" r:id="rId143" xr:uid="{00000000-0004-0000-0700-00008E000000}"/>
    <hyperlink ref="C145" r:id="rId144" xr:uid="{00000000-0004-0000-0700-00008F000000}"/>
    <hyperlink ref="C146" r:id="rId145" xr:uid="{00000000-0004-0000-0700-000090000000}"/>
    <hyperlink ref="C147" r:id="rId146" xr:uid="{00000000-0004-0000-0700-000091000000}"/>
    <hyperlink ref="C148" r:id="rId147" xr:uid="{00000000-0004-0000-0700-000092000000}"/>
    <hyperlink ref="C149" r:id="rId148" xr:uid="{00000000-0004-0000-0700-000093000000}"/>
    <hyperlink ref="C150" r:id="rId149" xr:uid="{00000000-0004-0000-0700-000094000000}"/>
    <hyperlink ref="C151" r:id="rId150" xr:uid="{00000000-0004-0000-0700-000095000000}"/>
    <hyperlink ref="C152" r:id="rId151" xr:uid="{00000000-0004-0000-0700-000096000000}"/>
    <hyperlink ref="C153" r:id="rId152" xr:uid="{00000000-0004-0000-0700-000097000000}"/>
    <hyperlink ref="C154" r:id="rId153" xr:uid="{00000000-0004-0000-0700-000098000000}"/>
    <hyperlink ref="C155" r:id="rId154" xr:uid="{00000000-0004-0000-0700-000099000000}"/>
    <hyperlink ref="C156" r:id="rId155" xr:uid="{00000000-0004-0000-0700-00009A000000}"/>
    <hyperlink ref="C157" r:id="rId156" xr:uid="{00000000-0004-0000-0700-00009B000000}"/>
    <hyperlink ref="C158" r:id="rId157" xr:uid="{00000000-0004-0000-0700-00009C000000}"/>
    <hyperlink ref="C159" r:id="rId158" xr:uid="{00000000-0004-0000-0700-00009D000000}"/>
    <hyperlink ref="C160" r:id="rId159" xr:uid="{00000000-0004-0000-0700-00009E000000}"/>
    <hyperlink ref="C161" r:id="rId160" xr:uid="{00000000-0004-0000-0700-00009F000000}"/>
    <hyperlink ref="C162" r:id="rId161" xr:uid="{00000000-0004-0000-0700-0000A0000000}"/>
    <hyperlink ref="C163" r:id="rId162" xr:uid="{00000000-0004-0000-0700-0000A1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256"/>
  <sheetViews>
    <sheetView tabSelected="1" topLeftCell="T148" workbookViewId="0">
      <selection activeCell="AH174" sqref="AH174"/>
    </sheetView>
  </sheetViews>
  <sheetFormatPr defaultRowHeight="14.4" x14ac:dyDescent="0.3"/>
  <cols>
    <col min="2" max="2" width="50" customWidth="1"/>
    <col min="3" max="3" width="9.109375"/>
    <col min="4" max="27" width="4.88671875" customWidth="1"/>
    <col min="28" max="31" width="12.88671875" customWidth="1"/>
    <col min="32" max="32" width="33.88671875" customWidth="1"/>
  </cols>
  <sheetData>
    <row r="1" spans="1:67" x14ac:dyDescent="0.3">
      <c r="A1" s="11" t="s">
        <v>1</v>
      </c>
      <c r="B1" s="11" t="s">
        <v>3</v>
      </c>
      <c r="C1" s="14" t="s">
        <v>4</v>
      </c>
      <c r="D1" s="12" t="s">
        <v>599</v>
      </c>
      <c r="E1" s="12"/>
      <c r="F1" s="12"/>
      <c r="G1" s="12"/>
      <c r="H1" s="12"/>
      <c r="I1" s="13"/>
      <c r="J1" s="12" t="s">
        <v>600</v>
      </c>
      <c r="K1" s="12"/>
      <c r="L1" s="12"/>
      <c r="M1" s="12"/>
      <c r="N1" s="12"/>
      <c r="O1" s="13"/>
      <c r="P1" s="12" t="s">
        <v>601</v>
      </c>
      <c r="Q1" s="12"/>
      <c r="R1" s="12"/>
      <c r="S1" s="12"/>
      <c r="T1" s="12"/>
      <c r="U1" s="13"/>
      <c r="V1" s="12" t="s">
        <v>602</v>
      </c>
      <c r="W1" s="12"/>
      <c r="X1" s="12"/>
      <c r="Y1" s="12"/>
      <c r="Z1" s="12"/>
      <c r="AA1" s="13"/>
      <c r="AB1" s="11" t="s">
        <v>603</v>
      </c>
      <c r="AC1" s="11" t="s">
        <v>604</v>
      </c>
      <c r="AD1" s="11" t="s">
        <v>605</v>
      </c>
      <c r="AE1" s="11" t="s">
        <v>606</v>
      </c>
      <c r="AF1" s="11" t="s">
        <v>607</v>
      </c>
      <c r="AG1" s="11" t="s">
        <v>608</v>
      </c>
    </row>
    <row r="2" spans="1:67" x14ac:dyDescent="0.3">
      <c r="A2" s="11"/>
      <c r="B2" s="11"/>
      <c r="C2" s="14"/>
      <c r="D2" s="12" t="s">
        <v>609</v>
      </c>
      <c r="E2" s="12"/>
      <c r="F2" s="12"/>
      <c r="G2" s="12" t="s">
        <v>610</v>
      </c>
      <c r="H2" s="12"/>
      <c r="I2" s="13"/>
      <c r="J2" s="12" t="s">
        <v>609</v>
      </c>
      <c r="K2" s="12"/>
      <c r="L2" s="12"/>
      <c r="M2" s="12" t="s">
        <v>610</v>
      </c>
      <c r="N2" s="12"/>
      <c r="O2" s="13"/>
      <c r="P2" s="12" t="s">
        <v>609</v>
      </c>
      <c r="Q2" s="12"/>
      <c r="R2" s="12"/>
      <c r="S2" s="12" t="s">
        <v>610</v>
      </c>
      <c r="T2" s="12"/>
      <c r="U2" s="13"/>
      <c r="V2" s="12" t="s">
        <v>609</v>
      </c>
      <c r="W2" s="12"/>
      <c r="X2" s="12"/>
      <c r="Y2" s="12" t="s">
        <v>610</v>
      </c>
      <c r="Z2" s="12"/>
      <c r="AA2" s="13"/>
      <c r="AB2" s="11"/>
      <c r="AC2" s="11"/>
      <c r="AD2" s="11"/>
      <c r="AE2" s="11"/>
      <c r="AF2" s="11"/>
      <c r="AG2" s="11"/>
    </row>
    <row r="3" spans="1:67" ht="140.4" x14ac:dyDescent="0.3">
      <c r="A3" s="11"/>
      <c r="B3" s="11"/>
      <c r="C3" s="14"/>
      <c r="D3" s="2" t="s">
        <v>611</v>
      </c>
      <c r="E3" s="2" t="s">
        <v>612</v>
      </c>
      <c r="F3" s="2" t="s">
        <v>613</v>
      </c>
      <c r="G3" s="2" t="s">
        <v>614</v>
      </c>
      <c r="H3" s="2" t="s">
        <v>615</v>
      </c>
      <c r="I3" s="3" t="s">
        <v>616</v>
      </c>
      <c r="J3" s="2" t="s">
        <v>617</v>
      </c>
      <c r="K3" s="2" t="s">
        <v>618</v>
      </c>
      <c r="L3" s="2" t="s">
        <v>619</v>
      </c>
      <c r="M3" s="2" t="s">
        <v>620</v>
      </c>
      <c r="N3" s="2" t="s">
        <v>621</v>
      </c>
      <c r="O3" s="3" t="s">
        <v>622</v>
      </c>
      <c r="P3" s="2" t="s">
        <v>623</v>
      </c>
      <c r="Q3" s="2" t="s">
        <v>624</v>
      </c>
      <c r="R3" s="2" t="s">
        <v>625</v>
      </c>
      <c r="S3" s="2" t="s">
        <v>626</v>
      </c>
      <c r="T3" s="2" t="s">
        <v>627</v>
      </c>
      <c r="U3" s="3" t="s">
        <v>628</v>
      </c>
      <c r="V3" s="2" t="s">
        <v>629</v>
      </c>
      <c r="W3" s="2" t="s">
        <v>630</v>
      </c>
      <c r="X3" s="2" t="s">
        <v>631</v>
      </c>
      <c r="Y3" s="2" t="s">
        <v>632</v>
      </c>
      <c r="Z3" s="2" t="s">
        <v>633</v>
      </c>
      <c r="AA3" s="3" t="s">
        <v>634</v>
      </c>
      <c r="AB3" s="11"/>
      <c r="AC3" s="11"/>
      <c r="AD3" s="11"/>
      <c r="AE3" s="11"/>
      <c r="AF3" s="11"/>
      <c r="AG3" s="11"/>
      <c r="AJ3" s="4"/>
      <c r="AK3" s="4"/>
      <c r="AL3" s="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4"/>
      <c r="BL3" s="4"/>
      <c r="BM3" s="4"/>
      <c r="BN3" s="4"/>
      <c r="BO3" s="4"/>
    </row>
    <row r="4" spans="1:67" ht="15.6" x14ac:dyDescent="0.3">
      <c r="A4" s="6" t="s">
        <v>33</v>
      </c>
      <c r="B4" s="6" t="str">
        <f>_xlfn.XLOOKUP($A4,Sheet3!$B:$B,Sheet3!D:D)</f>
        <v>华南师范大学附属中学</v>
      </c>
      <c r="C4" s="7" t="str">
        <f>_xlfn.XLOOKUP($A4,Sheet3!$B:$B,Sheet3!E:E)</f>
        <v>戴睿宸</v>
      </c>
      <c r="D4" s="6">
        <f>_xlfn.XLOOKUP($A4,Sheet1!$B:$B,Sheet1!H:H)</f>
        <v>100</v>
      </c>
      <c r="E4" s="6">
        <f>_xlfn.XLOOKUP($A4,Sheet1!$B:$B,Sheet1!I:I)</f>
        <v>100</v>
      </c>
      <c r="F4" s="6">
        <f>_xlfn.XLOOKUP($A4,Sheet1!$B:$B,Sheet1!J:J)</f>
        <v>25</v>
      </c>
      <c r="G4" s="6">
        <f>_xlfn.XLOOKUP($A4,Sheet2!$B:$B,Sheet2!H:H)</f>
        <v>100</v>
      </c>
      <c r="H4" s="6">
        <f>_xlfn.XLOOKUP($A4,Sheet2!$B:$B,Sheet2!I:I)</f>
        <v>56</v>
      </c>
      <c r="I4" s="7">
        <f>_xlfn.XLOOKUP($A4,Sheet2!$B:$B,Sheet2!J:J)</f>
        <v>24</v>
      </c>
      <c r="J4" s="8">
        <f>_xlfn.XLOOKUP($A4,Sheet3!$B:$B,Sheet3!H:H)</f>
        <v>100</v>
      </c>
      <c r="K4" s="8">
        <f>_xlfn.XLOOKUP($A4,Sheet3!$B:$B,Sheet3!I:I)</f>
        <v>100</v>
      </c>
      <c r="L4" s="8">
        <f>_xlfn.XLOOKUP($A4,Sheet3!$B:$B,Sheet3!J:J)</f>
        <v>40</v>
      </c>
      <c r="M4" s="8">
        <f>_xlfn.XLOOKUP($A4,Sheet4!$B:$B,Sheet4!H:H)</f>
        <v>100</v>
      </c>
      <c r="N4" s="8">
        <f>_xlfn.XLOOKUP($A4,Sheet4!$B:$B,Sheet4!I:I)</f>
        <v>100</v>
      </c>
      <c r="O4" s="9">
        <f>_xlfn.XLOOKUP($A4,Sheet4!$B:$B,Sheet4!J:J)</f>
        <v>69</v>
      </c>
      <c r="P4" s="8">
        <f>_xlfn.XLOOKUP($A4,Sheet5!$B:$B,Sheet5!H:H)</f>
        <v>100</v>
      </c>
      <c r="Q4" s="8">
        <f>_xlfn.XLOOKUP($A4,Sheet5!$B:$B,Sheet5!I:I)</f>
        <v>100</v>
      </c>
      <c r="R4" s="8">
        <f>_xlfn.XLOOKUP($A4,Sheet5!$B:$B,Sheet5!J:J)</f>
        <v>30</v>
      </c>
      <c r="S4" s="8">
        <f>_xlfn.XLOOKUP($A4,Sheet6!$B:$B,Sheet6!H:H)</f>
        <v>100</v>
      </c>
      <c r="T4" s="8">
        <f>_xlfn.XLOOKUP($A4,Sheet6!$B:$B,Sheet6!I:I)</f>
        <v>100</v>
      </c>
      <c r="U4" s="9">
        <f>_xlfn.XLOOKUP($A4,Sheet6!$B:$B,Sheet6!J:J)</f>
        <v>100</v>
      </c>
      <c r="V4" s="8">
        <f>_xlfn.XLOOKUP($A4,Sheet7!$B:$B,Sheet7!H:H)</f>
        <v>100</v>
      </c>
      <c r="W4" s="8">
        <f>_xlfn.XLOOKUP($A4,Sheet7!$B:$B,Sheet7!I:I)</f>
        <v>90</v>
      </c>
      <c r="X4" s="8">
        <f>_xlfn.XLOOKUP($A4,Sheet7!$B:$B,Sheet7!J:J)</f>
        <v>92</v>
      </c>
      <c r="Y4" s="8">
        <f>_xlfn.XLOOKUP($A4,Sheet8!$B:$B,Sheet8!H:H)</f>
        <v>100</v>
      </c>
      <c r="Z4" s="8">
        <f>_xlfn.XLOOKUP($A4,Sheet8!$B:$B,Sheet8!I:I)</f>
        <v>65</v>
      </c>
      <c r="AA4" s="9">
        <f>_xlfn.XLOOKUP($A4,Sheet8!$B:$B,Sheet8!J:J)</f>
        <v>45</v>
      </c>
      <c r="AB4" s="6">
        <f>_xlfn.XLOOKUP($A4,Sheet1!$B:$B,Sheet1!G:G,0)+_xlfn.XLOOKUP($A4,Sheet2!$B:$B,Sheet2!G:G,0)</f>
        <v>405</v>
      </c>
      <c r="AC4" s="6">
        <f>_xlfn.XLOOKUP($A4,Sheet3!$B:$B,Sheet3!G:G,0)+_xlfn.XLOOKUP($A4,Sheet4!$B:$B,Sheet4!G:G,0)</f>
        <v>509</v>
      </c>
      <c r="AD4" s="6">
        <f>_xlfn.XLOOKUP($A4,Sheet5!$B:$B,Sheet5!G:G,0)+_xlfn.XLOOKUP($A4,Sheet6!$B:$B,Sheet6!G:G,0)</f>
        <v>530</v>
      </c>
      <c r="AE4" s="6">
        <f>_xlfn.XLOOKUP($A4,Sheet7!$B:$B,Sheet7!G:G,0)+_xlfn.XLOOKUP($A4,Sheet8!$B:$B,Sheet8!G:G,0)</f>
        <v>492</v>
      </c>
      <c r="AF4" s="6" cm="1">
        <f t="array" ref="AF4">SUM(IFERROR(AB4:AE4,0))</f>
        <v>1936</v>
      </c>
      <c r="AG4" s="6">
        <f>RANK(AF4, $AF$4:$AF$166)</f>
        <v>1</v>
      </c>
      <c r="AJ4" s="4"/>
      <c r="AK4" s="4"/>
      <c r="AL4" s="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4"/>
      <c r="BL4" s="4"/>
      <c r="BM4" s="4"/>
      <c r="BN4" s="4"/>
      <c r="BO4" s="4"/>
    </row>
    <row r="5" spans="1:67" ht="15.6" x14ac:dyDescent="0.3">
      <c r="A5" s="6" t="s">
        <v>10</v>
      </c>
      <c r="B5" s="6" t="str">
        <f>_xlfn.XLOOKUP($A5,Sheet3!$B:$B,Sheet3!D:D)</f>
        <v>佛山市南海区石门中学</v>
      </c>
      <c r="C5" s="7" t="str">
        <f>_xlfn.XLOOKUP($A5,Sheet3!$B:$B,Sheet3!E:E)</f>
        <v>王梓睿</v>
      </c>
      <c r="D5" s="6">
        <f>_xlfn.XLOOKUP($A5,Sheet1!$B:$B,Sheet1!H:H)</f>
        <v>100</v>
      </c>
      <c r="E5" s="6">
        <f>_xlfn.XLOOKUP($A5,Sheet1!$B:$B,Sheet1!I:I)</f>
        <v>66</v>
      </c>
      <c r="F5" s="6">
        <f>_xlfn.XLOOKUP($A5,Sheet1!$B:$B,Sheet1!J:J)</f>
        <v>100</v>
      </c>
      <c r="G5" s="6">
        <f>_xlfn.XLOOKUP($A5,Sheet2!$B:$B,Sheet2!H:H)</f>
        <v>100</v>
      </c>
      <c r="H5" s="6">
        <f>_xlfn.XLOOKUP($A5,Sheet2!$B:$B,Sheet2!I:I)</f>
        <v>100</v>
      </c>
      <c r="I5" s="7">
        <f>_xlfn.XLOOKUP($A5,Sheet2!$B:$B,Sheet2!J:J)</f>
        <v>33</v>
      </c>
      <c r="J5" s="8">
        <f>_xlfn.XLOOKUP($A5,Sheet3!$B:$B,Sheet3!H:H)</f>
        <v>100</v>
      </c>
      <c r="K5" s="8">
        <f>_xlfn.XLOOKUP($A5,Sheet3!$B:$B,Sheet3!I:I)</f>
        <v>100</v>
      </c>
      <c r="L5" s="8">
        <f>_xlfn.XLOOKUP($A5,Sheet3!$B:$B,Sheet3!J:J)</f>
        <v>70</v>
      </c>
      <c r="M5" s="8">
        <f>_xlfn.XLOOKUP($A5,Sheet4!$B:$B,Sheet4!H:H)</f>
        <v>100</v>
      </c>
      <c r="N5" s="8">
        <f>_xlfn.XLOOKUP($A5,Sheet4!$B:$B,Sheet4!I:I)</f>
        <v>95</v>
      </c>
      <c r="O5" s="9">
        <f>_xlfn.XLOOKUP($A5,Sheet4!$B:$B,Sheet4!J:J)</f>
        <v>100</v>
      </c>
      <c r="P5" s="8">
        <f>_xlfn.XLOOKUP($A5,Sheet5!$B:$B,Sheet5!H:H)</f>
        <v>100</v>
      </c>
      <c r="Q5" s="8">
        <f>_xlfn.XLOOKUP($A5,Sheet5!$B:$B,Sheet5!I:I)</f>
        <v>74</v>
      </c>
      <c r="R5" s="8">
        <f>_xlfn.XLOOKUP($A5,Sheet5!$B:$B,Sheet5!J:J)</f>
        <v>30</v>
      </c>
      <c r="S5" s="8">
        <f>_xlfn.XLOOKUP($A5,Sheet6!$B:$B,Sheet6!H:H)</f>
        <v>100</v>
      </c>
      <c r="T5" s="8">
        <f>_xlfn.XLOOKUP($A5,Sheet6!$B:$B,Sheet6!I:I)</f>
        <v>100</v>
      </c>
      <c r="U5" s="9">
        <f>_xlfn.XLOOKUP($A5,Sheet6!$B:$B,Sheet6!J:J)</f>
        <v>100</v>
      </c>
      <c r="V5" s="8">
        <f>_xlfn.XLOOKUP($A5,Sheet7!$B:$B,Sheet7!H:H)</f>
        <v>100</v>
      </c>
      <c r="W5" s="8">
        <f>_xlfn.XLOOKUP($A5,Sheet7!$B:$B,Sheet7!I:I)</f>
        <v>30</v>
      </c>
      <c r="X5" s="8">
        <f>_xlfn.XLOOKUP($A5,Sheet7!$B:$B,Sheet7!J:J)</f>
        <v>14</v>
      </c>
      <c r="Y5" s="8">
        <f>_xlfn.XLOOKUP($A5,Sheet8!$B:$B,Sheet8!H:H)</f>
        <v>100</v>
      </c>
      <c r="Z5" s="8">
        <f>_xlfn.XLOOKUP($A5,Sheet8!$B:$B,Sheet8!I:I)</f>
        <v>100</v>
      </c>
      <c r="AA5" s="9">
        <f>_xlfn.XLOOKUP($A5,Sheet8!$B:$B,Sheet8!J:J)</f>
        <v>15</v>
      </c>
      <c r="AB5" s="6">
        <f>_xlfn.XLOOKUP($A5,Sheet1!$B:$B,Sheet1!G:G,0)+_xlfn.XLOOKUP($A5,Sheet2!$B:$B,Sheet2!G:G,0)</f>
        <v>499</v>
      </c>
      <c r="AC5" s="6">
        <f>_xlfn.XLOOKUP($A5,Sheet3!$B:$B,Sheet3!G:G,0)+_xlfn.XLOOKUP($A5,Sheet4!$B:$B,Sheet4!G:G,0)</f>
        <v>565</v>
      </c>
      <c r="AD5" s="6">
        <f>_xlfn.XLOOKUP($A5,Sheet5!$B:$B,Sheet5!G:G,0)+_xlfn.XLOOKUP($A5,Sheet6!$B:$B,Sheet6!G:G,0)</f>
        <v>504</v>
      </c>
      <c r="AE5" s="6">
        <f>_xlfn.XLOOKUP($A5,Sheet7!$B:$B,Sheet7!G:G,0)+_xlfn.XLOOKUP($A5,Sheet8!$B:$B,Sheet8!G:G,0)</f>
        <v>359</v>
      </c>
      <c r="AF5" s="6" cm="1">
        <f t="array" ref="AF5">SUM(IFERROR(AB5:AE5,0))</f>
        <v>1927</v>
      </c>
      <c r="AG5" s="6">
        <f t="shared" ref="AG5:AG68" si="0">RANK(AF5, $AF$4:$AF$166)</f>
        <v>2</v>
      </c>
    </row>
    <row r="6" spans="1:67" ht="15.6" x14ac:dyDescent="0.3">
      <c r="A6" s="6" t="s">
        <v>58</v>
      </c>
      <c r="B6" s="6" t="str">
        <f>_xlfn.XLOOKUP($A6,Sheet3!$B:$B,Sheet3!D:D)</f>
        <v>浙江省诸暨市海亮高级中学</v>
      </c>
      <c r="C6" s="7" t="str">
        <f>_xlfn.XLOOKUP($A6,Sheet3!$B:$B,Sheet3!E:E)</f>
        <v>吴旻逸</v>
      </c>
      <c r="D6" s="6">
        <f>_xlfn.XLOOKUP($A6,Sheet1!$B:$B,Sheet1!H:H)</f>
        <v>100</v>
      </c>
      <c r="E6" s="6">
        <f>_xlfn.XLOOKUP($A6,Sheet1!$B:$B,Sheet1!I:I)</f>
        <v>100</v>
      </c>
      <c r="F6" s="6">
        <f>_xlfn.XLOOKUP($A6,Sheet1!$B:$B,Sheet1!J:J)</f>
        <v>0</v>
      </c>
      <c r="G6" s="6">
        <f>_xlfn.XLOOKUP($A6,Sheet2!$B:$B,Sheet2!H:H)</f>
        <v>100</v>
      </c>
      <c r="H6" s="6">
        <f>_xlfn.XLOOKUP($A6,Sheet2!$B:$B,Sheet2!I:I)</f>
        <v>56</v>
      </c>
      <c r="I6" s="7">
        <f>_xlfn.XLOOKUP($A6,Sheet2!$B:$B,Sheet2!J:J)</f>
        <v>34</v>
      </c>
      <c r="J6" s="8">
        <f>_xlfn.XLOOKUP($A6,Sheet3!$B:$B,Sheet3!H:H)</f>
        <v>84</v>
      </c>
      <c r="K6" s="8">
        <f>_xlfn.XLOOKUP($A6,Sheet3!$B:$B,Sheet3!I:I)</f>
        <v>100</v>
      </c>
      <c r="L6" s="8">
        <f>_xlfn.XLOOKUP($A6,Sheet3!$B:$B,Sheet3!J:J)</f>
        <v>40</v>
      </c>
      <c r="M6" s="8">
        <f>_xlfn.XLOOKUP($A6,Sheet4!$B:$B,Sheet4!H:H)</f>
        <v>100</v>
      </c>
      <c r="N6" s="8">
        <f>_xlfn.XLOOKUP($A6,Sheet4!$B:$B,Sheet4!I:I)</f>
        <v>0</v>
      </c>
      <c r="O6" s="9">
        <f>_xlfn.XLOOKUP($A6,Sheet4!$B:$B,Sheet4!J:J)</f>
        <v>100</v>
      </c>
      <c r="P6" s="8">
        <f>_xlfn.XLOOKUP($A6,Sheet5!$B:$B,Sheet5!H:H)</f>
        <v>100</v>
      </c>
      <c r="Q6" s="8">
        <f>_xlfn.XLOOKUP($A6,Sheet5!$B:$B,Sheet5!I:I)</f>
        <v>32</v>
      </c>
      <c r="R6" s="8">
        <f>_xlfn.XLOOKUP($A6,Sheet5!$B:$B,Sheet5!J:J)</f>
        <v>100</v>
      </c>
      <c r="S6" s="8">
        <f>_xlfn.XLOOKUP($A6,Sheet6!$B:$B,Sheet6!H:H)</f>
        <v>100</v>
      </c>
      <c r="T6" s="8">
        <f>_xlfn.XLOOKUP($A6,Sheet6!$B:$B,Sheet6!I:I)</f>
        <v>100</v>
      </c>
      <c r="U6" s="9">
        <f>_xlfn.XLOOKUP($A6,Sheet6!$B:$B,Sheet6!J:J)</f>
        <v>100</v>
      </c>
      <c r="V6" s="8">
        <f>_xlfn.XLOOKUP($A6,Sheet7!$B:$B,Sheet7!H:H)</f>
        <v>100</v>
      </c>
      <c r="W6" s="8">
        <f>_xlfn.XLOOKUP($A6,Sheet7!$B:$B,Sheet7!I:I)</f>
        <v>100</v>
      </c>
      <c r="X6" s="8">
        <f>_xlfn.XLOOKUP($A6,Sheet7!$B:$B,Sheet7!J:J)</f>
        <v>80</v>
      </c>
      <c r="Y6" s="8">
        <f>_xlfn.XLOOKUP($A6,Sheet8!$B:$B,Sheet8!H:H)</f>
        <v>100</v>
      </c>
      <c r="Z6" s="8">
        <f>_xlfn.XLOOKUP($A6,Sheet8!$B:$B,Sheet8!I:I)</f>
        <v>100</v>
      </c>
      <c r="AA6" s="9">
        <f>_xlfn.XLOOKUP($A6,Sheet8!$B:$B,Sheet8!J:J)</f>
        <v>50</v>
      </c>
      <c r="AB6" s="6">
        <f>_xlfn.XLOOKUP($A6,Sheet1!$B:$B,Sheet1!G:G,0)+_xlfn.XLOOKUP($A6,Sheet2!$B:$B,Sheet2!G:G,0)</f>
        <v>390</v>
      </c>
      <c r="AC6" s="6">
        <f>_xlfn.XLOOKUP($A6,Sheet3!$B:$B,Sheet3!G:G,0)+_xlfn.XLOOKUP($A6,Sheet4!$B:$B,Sheet4!G:G,0)</f>
        <v>424</v>
      </c>
      <c r="AD6" s="6">
        <f>_xlfn.XLOOKUP($A6,Sheet5!$B:$B,Sheet5!G:G,0)+_xlfn.XLOOKUP($A6,Sheet6!$B:$B,Sheet6!G:G,0)</f>
        <v>532</v>
      </c>
      <c r="AE6" s="6">
        <f>_xlfn.XLOOKUP($A6,Sheet7!$B:$B,Sheet7!G:G,0)+_xlfn.XLOOKUP($A6,Sheet8!$B:$B,Sheet8!G:G,0)</f>
        <v>530</v>
      </c>
      <c r="AF6" s="6" cm="1">
        <f t="array" ref="AF6">SUM(IFERROR(AB6:AE6,0))</f>
        <v>1876</v>
      </c>
      <c r="AG6" s="6">
        <f t="shared" si="0"/>
        <v>3</v>
      </c>
    </row>
    <row r="7" spans="1:67" ht="15.6" x14ac:dyDescent="0.3">
      <c r="A7" s="6" t="s">
        <v>193</v>
      </c>
      <c r="B7" s="6" t="str">
        <f>_xlfn.XLOOKUP($A7,Sheet3!$B:$B,Sheet3!D:D)</f>
        <v>浙江省诸暨市海亮高级中学</v>
      </c>
      <c r="C7" s="7" t="str">
        <f>_xlfn.XLOOKUP($A7,Sheet3!$B:$B,Sheet3!E:E)</f>
        <v>刘家萌</v>
      </c>
      <c r="D7" s="6">
        <f>_xlfn.XLOOKUP($A7,Sheet1!$B:$B,Sheet1!H:H)</f>
        <v>24</v>
      </c>
      <c r="E7" s="6">
        <f>_xlfn.XLOOKUP($A7,Sheet1!$B:$B,Sheet1!I:I)</f>
        <v>100</v>
      </c>
      <c r="F7" s="6">
        <f>_xlfn.XLOOKUP($A7,Sheet1!$B:$B,Sheet1!J:J)</f>
        <v>0</v>
      </c>
      <c r="G7" s="6">
        <f>_xlfn.XLOOKUP($A7,Sheet2!$B:$B,Sheet2!H:H)</f>
        <v>100</v>
      </c>
      <c r="H7" s="6">
        <f>_xlfn.XLOOKUP($A7,Sheet2!$B:$B,Sheet2!I:I)</f>
        <v>0</v>
      </c>
      <c r="I7" s="7">
        <f>_xlfn.XLOOKUP($A7,Sheet2!$B:$B,Sheet2!J:J)</f>
        <v>43</v>
      </c>
      <c r="J7" s="8">
        <f>_xlfn.XLOOKUP($A7,Sheet3!$B:$B,Sheet3!H:H)</f>
        <v>100</v>
      </c>
      <c r="K7" s="8">
        <f>_xlfn.XLOOKUP($A7,Sheet3!$B:$B,Sheet3!I:I)</f>
        <v>100</v>
      </c>
      <c r="L7" s="8">
        <f>_xlfn.XLOOKUP($A7,Sheet3!$B:$B,Sheet3!J:J)</f>
        <v>100</v>
      </c>
      <c r="M7" s="8">
        <f>_xlfn.XLOOKUP($A7,Sheet4!$B:$B,Sheet4!H:H)</f>
        <v>100</v>
      </c>
      <c r="N7" s="8">
        <f>_xlfn.XLOOKUP($A7,Sheet4!$B:$B,Sheet4!I:I)</f>
        <v>100</v>
      </c>
      <c r="O7" s="9">
        <f>_xlfn.XLOOKUP($A7,Sheet4!$B:$B,Sheet4!J:J)</f>
        <v>100</v>
      </c>
      <c r="P7" s="8">
        <f>_xlfn.XLOOKUP($A7,Sheet5!$B:$B,Sheet5!H:H)</f>
        <v>100</v>
      </c>
      <c r="Q7" s="8">
        <f>_xlfn.XLOOKUP($A7,Sheet5!$B:$B,Sheet5!I:I)</f>
        <v>100</v>
      </c>
      <c r="R7" s="8">
        <f>_xlfn.XLOOKUP($A7,Sheet5!$B:$B,Sheet5!J:J)</f>
        <v>10</v>
      </c>
      <c r="S7" s="8">
        <f>_xlfn.XLOOKUP($A7,Sheet6!$B:$B,Sheet6!H:H)</f>
        <v>100</v>
      </c>
      <c r="T7" s="8">
        <f>_xlfn.XLOOKUP($A7,Sheet6!$B:$B,Sheet6!I:I)</f>
        <v>100</v>
      </c>
      <c r="U7" s="9">
        <f>_xlfn.XLOOKUP($A7,Sheet6!$B:$B,Sheet6!J:J)</f>
        <v>100</v>
      </c>
      <c r="V7" s="8">
        <f>_xlfn.XLOOKUP($A7,Sheet7!$B:$B,Sheet7!H:H)</f>
        <v>100</v>
      </c>
      <c r="W7" s="8">
        <f>_xlfn.XLOOKUP($A7,Sheet7!$B:$B,Sheet7!I:I)</f>
        <v>100</v>
      </c>
      <c r="X7" s="8">
        <f>_xlfn.XLOOKUP($A7,Sheet7!$B:$B,Sheet7!J:J)</f>
        <v>14</v>
      </c>
      <c r="Y7" s="8">
        <f>_xlfn.XLOOKUP($A7,Sheet8!$B:$B,Sheet8!H:H)</f>
        <v>100</v>
      </c>
      <c r="Z7" s="8">
        <f>_xlfn.XLOOKUP($A7,Sheet8!$B:$B,Sheet8!I:I)</f>
        <v>100</v>
      </c>
      <c r="AA7" s="9">
        <f>_xlfn.XLOOKUP($A7,Sheet8!$B:$B,Sheet8!J:J)</f>
        <v>60</v>
      </c>
      <c r="AB7" s="6">
        <f>_xlfn.XLOOKUP($A7,Sheet1!$B:$B,Sheet1!G:G,0)+_xlfn.XLOOKUP($A7,Sheet2!$B:$B,Sheet2!G:G,0)</f>
        <v>267</v>
      </c>
      <c r="AC7" s="6">
        <f>_xlfn.XLOOKUP($A7,Sheet3!$B:$B,Sheet3!G:G,0)+_xlfn.XLOOKUP($A7,Sheet4!$B:$B,Sheet4!G:G,0)</f>
        <v>600</v>
      </c>
      <c r="AD7" s="6">
        <f>_xlfn.XLOOKUP($A7,Sheet5!$B:$B,Sheet5!G:G,0)+_xlfn.XLOOKUP($A7,Sheet6!$B:$B,Sheet6!G:G,0)</f>
        <v>510</v>
      </c>
      <c r="AE7" s="6">
        <f>_xlfn.XLOOKUP($A7,Sheet7!$B:$B,Sheet7!G:G,0)+_xlfn.XLOOKUP($A7,Sheet8!$B:$B,Sheet8!G:G,0)</f>
        <v>474</v>
      </c>
      <c r="AF7" s="6" cm="1">
        <f t="array" ref="AF7">SUM(IFERROR(AB7:AE7,0))</f>
        <v>1851</v>
      </c>
      <c r="AG7" s="6">
        <f t="shared" si="0"/>
        <v>4</v>
      </c>
    </row>
    <row r="8" spans="1:67" ht="15.6" x14ac:dyDescent="0.3">
      <c r="A8" s="6" t="s">
        <v>141</v>
      </c>
      <c r="B8" s="6" t="str">
        <f>_xlfn.XLOOKUP($A8,Sheet3!$B:$B,Sheet3!D:D)</f>
        <v>上海外国语大学附属外国语学校</v>
      </c>
      <c r="C8" s="7" t="str">
        <f>_xlfn.XLOOKUP($A8,Sheet3!$B:$B,Sheet3!E:E)</f>
        <v>吴思成</v>
      </c>
      <c r="D8" s="6">
        <f>_xlfn.XLOOKUP($A8,Sheet1!$B:$B,Sheet1!H:H)</f>
        <v>42</v>
      </c>
      <c r="E8" s="6">
        <f>_xlfn.XLOOKUP($A8,Sheet1!$B:$B,Sheet1!I:I)</f>
        <v>100</v>
      </c>
      <c r="F8" s="6">
        <f>_xlfn.XLOOKUP($A8,Sheet1!$B:$B,Sheet1!J:J)</f>
        <v>0</v>
      </c>
      <c r="G8" s="6">
        <f>_xlfn.XLOOKUP($A8,Sheet2!$B:$B,Sheet2!H:H)</f>
        <v>100</v>
      </c>
      <c r="H8" s="6">
        <f>_xlfn.XLOOKUP($A8,Sheet2!$B:$B,Sheet2!I:I)</f>
        <v>76</v>
      </c>
      <c r="I8" s="7">
        <f>_xlfn.XLOOKUP($A8,Sheet2!$B:$B,Sheet2!J:J)</f>
        <v>25</v>
      </c>
      <c r="J8" s="8">
        <f>_xlfn.XLOOKUP($A8,Sheet3!$B:$B,Sheet3!H:H)</f>
        <v>100</v>
      </c>
      <c r="K8" s="8">
        <f>_xlfn.XLOOKUP($A8,Sheet3!$B:$B,Sheet3!I:I)</f>
        <v>100</v>
      </c>
      <c r="L8" s="8">
        <f>_xlfn.XLOOKUP($A8,Sheet3!$B:$B,Sheet3!J:J)</f>
        <v>100</v>
      </c>
      <c r="M8" s="8">
        <f>_xlfn.XLOOKUP($A8,Sheet4!$B:$B,Sheet4!H:H)</f>
        <v>100</v>
      </c>
      <c r="N8" s="8">
        <f>_xlfn.XLOOKUP($A8,Sheet4!$B:$B,Sheet4!I:I)</f>
        <v>11</v>
      </c>
      <c r="O8" s="9">
        <f>_xlfn.XLOOKUP($A8,Sheet4!$B:$B,Sheet4!J:J)</f>
        <v>22</v>
      </c>
      <c r="P8" s="8">
        <f>_xlfn.XLOOKUP($A8,Sheet5!$B:$B,Sheet5!H:H)</f>
        <v>100</v>
      </c>
      <c r="Q8" s="8">
        <f>_xlfn.XLOOKUP($A8,Sheet5!$B:$B,Sheet5!I:I)</f>
        <v>100</v>
      </c>
      <c r="R8" s="8">
        <f>_xlfn.XLOOKUP($A8,Sheet5!$B:$B,Sheet5!J:J)</f>
        <v>20</v>
      </c>
      <c r="S8" s="8">
        <f>_xlfn.XLOOKUP($A8,Sheet6!$B:$B,Sheet6!H:H)</f>
        <v>100</v>
      </c>
      <c r="T8" s="8">
        <f>_xlfn.XLOOKUP($A8,Sheet6!$B:$B,Sheet6!I:I)</f>
        <v>100</v>
      </c>
      <c r="U8" s="9">
        <f>_xlfn.XLOOKUP($A8,Sheet6!$B:$B,Sheet6!J:J)</f>
        <v>100</v>
      </c>
      <c r="V8" s="8">
        <f>_xlfn.XLOOKUP($A8,Sheet7!$B:$B,Sheet7!H:H)</f>
        <v>100</v>
      </c>
      <c r="W8" s="8">
        <f>_xlfn.XLOOKUP($A8,Sheet7!$B:$B,Sheet7!I:I)</f>
        <v>100</v>
      </c>
      <c r="X8" s="8">
        <f>_xlfn.XLOOKUP($A8,Sheet7!$B:$B,Sheet7!J:J)</f>
        <v>100</v>
      </c>
      <c r="Y8" s="8">
        <f>_xlfn.XLOOKUP($A8,Sheet8!$B:$B,Sheet8!H:H)</f>
        <v>100</v>
      </c>
      <c r="Z8" s="8">
        <f>_xlfn.XLOOKUP($A8,Sheet8!$B:$B,Sheet8!I:I)</f>
        <v>65</v>
      </c>
      <c r="AA8" s="9">
        <f>_xlfn.XLOOKUP($A8,Sheet8!$B:$B,Sheet8!J:J)</f>
        <v>35</v>
      </c>
      <c r="AB8" s="6">
        <f>_xlfn.XLOOKUP($A8,Sheet1!$B:$B,Sheet1!G:G,0)+_xlfn.XLOOKUP($A8,Sheet2!$B:$B,Sheet2!G:G,0)</f>
        <v>343</v>
      </c>
      <c r="AC8" s="6">
        <f>_xlfn.XLOOKUP($A8,Sheet3!$B:$B,Sheet3!G:G,0)+_xlfn.XLOOKUP($A8,Sheet4!$B:$B,Sheet4!G:G,0)</f>
        <v>433</v>
      </c>
      <c r="AD8" s="6">
        <f>_xlfn.XLOOKUP($A8,Sheet5!$B:$B,Sheet5!G:G,0)+_xlfn.XLOOKUP($A8,Sheet6!$B:$B,Sheet6!G:G,0)</f>
        <v>520</v>
      </c>
      <c r="AE8" s="6">
        <f>_xlfn.XLOOKUP($A8,Sheet7!$B:$B,Sheet7!G:G,0)+_xlfn.XLOOKUP($A8,Sheet8!$B:$B,Sheet8!G:G,0)</f>
        <v>500</v>
      </c>
      <c r="AF8" s="6" cm="1">
        <f t="array" ref="AF8">SUM(IFERROR(AB8:AE8,0))</f>
        <v>1796</v>
      </c>
      <c r="AG8" s="6">
        <f t="shared" si="0"/>
        <v>5</v>
      </c>
    </row>
    <row r="9" spans="1:67" ht="15.6" x14ac:dyDescent="0.3">
      <c r="A9" s="6" t="s">
        <v>43</v>
      </c>
      <c r="B9" s="6" t="str">
        <f>_xlfn.XLOOKUP($A9,Sheet3!$B:$B,Sheet3!D:D)</f>
        <v>重庆市巴蜀中学校</v>
      </c>
      <c r="C9" s="7" t="str">
        <f>_xlfn.XLOOKUP($A9,Sheet3!$B:$B,Sheet3!E:E)</f>
        <v>殷骏</v>
      </c>
      <c r="D9" s="6">
        <f>_xlfn.XLOOKUP($A9,Sheet1!$B:$B,Sheet1!H:H)</f>
        <v>100</v>
      </c>
      <c r="E9" s="6">
        <f>_xlfn.XLOOKUP($A9,Sheet1!$B:$B,Sheet1!I:I)</f>
        <v>100</v>
      </c>
      <c r="F9" s="6">
        <f>_xlfn.XLOOKUP($A9,Sheet1!$B:$B,Sheet1!J:J)</f>
        <v>18</v>
      </c>
      <c r="G9" s="6">
        <f>_xlfn.XLOOKUP($A9,Sheet2!$B:$B,Sheet2!H:H)</f>
        <v>100</v>
      </c>
      <c r="H9" s="6">
        <f>_xlfn.XLOOKUP($A9,Sheet2!$B:$B,Sheet2!I:I)</f>
        <v>56</v>
      </c>
      <c r="I9" s="7">
        <f>_xlfn.XLOOKUP($A9,Sheet2!$B:$B,Sheet2!J:J)</f>
        <v>12</v>
      </c>
      <c r="J9" s="8">
        <f>_xlfn.XLOOKUP($A9,Sheet3!$B:$B,Sheet3!H:H)</f>
        <v>100</v>
      </c>
      <c r="K9" s="8">
        <f>_xlfn.XLOOKUP($A9,Sheet3!$B:$B,Sheet3!I:I)</f>
        <v>100</v>
      </c>
      <c r="L9" s="8">
        <f>_xlfn.XLOOKUP($A9,Sheet3!$B:$B,Sheet3!J:J)</f>
        <v>100</v>
      </c>
      <c r="M9" s="8">
        <f>_xlfn.XLOOKUP($A9,Sheet4!$B:$B,Sheet4!H:H)</f>
        <v>100</v>
      </c>
      <c r="N9" s="8">
        <f>_xlfn.XLOOKUP($A9,Sheet4!$B:$B,Sheet4!I:I)</f>
        <v>100</v>
      </c>
      <c r="O9" s="9">
        <f>_xlfn.XLOOKUP($A9,Sheet4!$B:$B,Sheet4!J:J)</f>
        <v>22</v>
      </c>
      <c r="P9" s="8">
        <f>_xlfn.XLOOKUP($A9,Sheet5!$B:$B,Sheet5!H:H)</f>
        <v>100</v>
      </c>
      <c r="Q9" s="8">
        <f>_xlfn.XLOOKUP($A9,Sheet5!$B:$B,Sheet5!I:I)</f>
        <v>32</v>
      </c>
      <c r="R9" s="8">
        <f>_xlfn.XLOOKUP($A9,Sheet5!$B:$B,Sheet5!J:J)</f>
        <v>30</v>
      </c>
      <c r="S9" s="8">
        <f>_xlfn.XLOOKUP($A9,Sheet6!$B:$B,Sheet6!H:H)</f>
        <v>100</v>
      </c>
      <c r="T9" s="8">
        <f>_xlfn.XLOOKUP($A9,Sheet6!$B:$B,Sheet6!I:I)</f>
        <v>100</v>
      </c>
      <c r="U9" s="9">
        <f>_xlfn.XLOOKUP($A9,Sheet6!$B:$B,Sheet6!J:J)</f>
        <v>100</v>
      </c>
      <c r="V9" s="8">
        <f>_xlfn.XLOOKUP($A9,Sheet7!$B:$B,Sheet7!H:H)</f>
        <v>100</v>
      </c>
      <c r="W9" s="8">
        <f>_xlfn.XLOOKUP($A9,Sheet7!$B:$B,Sheet7!I:I)</f>
        <v>80</v>
      </c>
      <c r="X9" s="8">
        <f>_xlfn.XLOOKUP($A9,Sheet7!$B:$B,Sheet7!J:J)</f>
        <v>42</v>
      </c>
      <c r="Y9" s="8">
        <f>_xlfn.XLOOKUP($A9,Sheet8!$B:$B,Sheet8!H:H)</f>
        <v>100</v>
      </c>
      <c r="Z9" s="8">
        <f>_xlfn.XLOOKUP($A9,Sheet8!$B:$B,Sheet8!I:I)</f>
        <v>65</v>
      </c>
      <c r="AA9" s="9">
        <f>_xlfn.XLOOKUP($A9,Sheet8!$B:$B,Sheet8!J:J)</f>
        <v>20</v>
      </c>
      <c r="AB9" s="6">
        <f>_xlfn.XLOOKUP($A9,Sheet1!$B:$B,Sheet1!G:G,0)+_xlfn.XLOOKUP($A9,Sheet2!$B:$B,Sheet2!G:G,0)</f>
        <v>386</v>
      </c>
      <c r="AC9" s="6">
        <f>_xlfn.XLOOKUP($A9,Sheet3!$B:$B,Sheet3!G:G,0)+_xlfn.XLOOKUP($A9,Sheet4!$B:$B,Sheet4!G:G,0)</f>
        <v>522</v>
      </c>
      <c r="AD9" s="6">
        <f>_xlfn.XLOOKUP($A9,Sheet5!$B:$B,Sheet5!G:G,0)+_xlfn.XLOOKUP($A9,Sheet6!$B:$B,Sheet6!G:G,0)</f>
        <v>462</v>
      </c>
      <c r="AE9" s="6">
        <f>_xlfn.XLOOKUP($A9,Sheet7!$B:$B,Sheet7!G:G,0)+_xlfn.XLOOKUP($A9,Sheet8!$B:$B,Sheet8!G:G,0)</f>
        <v>407</v>
      </c>
      <c r="AF9" s="6" cm="1">
        <f t="array" ref="AF9">SUM(IFERROR(AB9:AE9,0))</f>
        <v>1777</v>
      </c>
      <c r="AG9" s="6">
        <f t="shared" si="0"/>
        <v>6</v>
      </c>
    </row>
    <row r="10" spans="1:67" ht="15.6" x14ac:dyDescent="0.3">
      <c r="A10" s="6" t="s">
        <v>290</v>
      </c>
      <c r="B10" s="6" t="str">
        <f>_xlfn.XLOOKUP($A10,Sheet3!$B:$B,Sheet3!D:D)</f>
        <v>广州大学附属中学</v>
      </c>
      <c r="C10" s="7" t="str">
        <f>_xlfn.XLOOKUP($A10,Sheet3!$B:$B,Sheet3!E:E)</f>
        <v>张乐涛</v>
      </c>
      <c r="D10" s="6">
        <f>_xlfn.XLOOKUP($A10,Sheet1!$B:$B,Sheet1!H:H)</f>
        <v>42</v>
      </c>
      <c r="E10" s="6">
        <f>_xlfn.XLOOKUP($A10,Sheet1!$B:$B,Sheet1!I:I)</f>
        <v>0</v>
      </c>
      <c r="F10" s="6">
        <f>_xlfn.XLOOKUP($A10,Sheet1!$B:$B,Sheet1!J:J)</f>
        <v>18</v>
      </c>
      <c r="G10" s="6">
        <f>_xlfn.XLOOKUP($A10,Sheet2!$B:$B,Sheet2!H:H)</f>
        <v>100</v>
      </c>
      <c r="H10" s="6">
        <f>_xlfn.XLOOKUP($A10,Sheet2!$B:$B,Sheet2!I:I)</f>
        <v>100</v>
      </c>
      <c r="I10" s="7">
        <f>_xlfn.XLOOKUP($A10,Sheet2!$B:$B,Sheet2!J:J)</f>
        <v>34</v>
      </c>
      <c r="J10" s="8">
        <f>_xlfn.XLOOKUP($A10,Sheet3!$B:$B,Sheet3!H:H)</f>
        <v>100</v>
      </c>
      <c r="K10" s="8">
        <f>_xlfn.XLOOKUP($A10,Sheet3!$B:$B,Sheet3!I:I)</f>
        <v>60</v>
      </c>
      <c r="L10" s="8">
        <f>_xlfn.XLOOKUP($A10,Sheet3!$B:$B,Sheet3!J:J)</f>
        <v>100</v>
      </c>
      <c r="M10" s="8">
        <f>_xlfn.XLOOKUP($A10,Sheet4!$B:$B,Sheet4!H:H)</f>
        <v>100</v>
      </c>
      <c r="N10" s="8">
        <f>_xlfn.XLOOKUP($A10,Sheet4!$B:$B,Sheet4!I:I)</f>
        <v>100</v>
      </c>
      <c r="O10" s="9">
        <f>_xlfn.XLOOKUP($A10,Sheet4!$B:$B,Sheet4!J:J)</f>
        <v>22</v>
      </c>
      <c r="P10" s="8">
        <f>_xlfn.XLOOKUP($A10,Sheet5!$B:$B,Sheet5!H:H)</f>
        <v>100</v>
      </c>
      <c r="Q10" s="8">
        <f>_xlfn.XLOOKUP($A10,Sheet5!$B:$B,Sheet5!I:I)</f>
        <v>32</v>
      </c>
      <c r="R10" s="8">
        <f>_xlfn.XLOOKUP($A10,Sheet5!$B:$B,Sheet5!J:J)</f>
        <v>100</v>
      </c>
      <c r="S10" s="8">
        <f>_xlfn.XLOOKUP($A10,Sheet6!$B:$B,Sheet6!H:H)</f>
        <v>100</v>
      </c>
      <c r="T10" s="8">
        <f>_xlfn.XLOOKUP($A10,Sheet6!$B:$B,Sheet6!I:I)</f>
        <v>100</v>
      </c>
      <c r="U10" s="9">
        <f>_xlfn.XLOOKUP($A10,Sheet6!$B:$B,Sheet6!J:J)</f>
        <v>100</v>
      </c>
      <c r="V10" s="8">
        <f>_xlfn.XLOOKUP($A10,Sheet7!$B:$B,Sheet7!H:H)</f>
        <v>100</v>
      </c>
      <c r="W10" s="8">
        <f>_xlfn.XLOOKUP($A10,Sheet7!$B:$B,Sheet7!I:I)</f>
        <v>90</v>
      </c>
      <c r="X10" s="8">
        <f>_xlfn.XLOOKUP($A10,Sheet7!$B:$B,Sheet7!J:J)</f>
        <v>42</v>
      </c>
      <c r="Y10" s="8">
        <f>_xlfn.XLOOKUP($A10,Sheet8!$B:$B,Sheet8!H:H)</f>
        <v>100</v>
      </c>
      <c r="Z10" s="8">
        <f>_xlfn.XLOOKUP($A10,Sheet8!$B:$B,Sheet8!I:I)</f>
        <v>65</v>
      </c>
      <c r="AA10" s="9">
        <f>_xlfn.XLOOKUP($A10,Sheet8!$B:$B,Sheet8!J:J)</f>
        <v>45</v>
      </c>
      <c r="AB10" s="6">
        <f>_xlfn.XLOOKUP($A10,Sheet1!$B:$B,Sheet1!G:G,0)+_xlfn.XLOOKUP($A10,Sheet2!$B:$B,Sheet2!G:G,0)</f>
        <v>294</v>
      </c>
      <c r="AC10" s="6">
        <f>_xlfn.XLOOKUP($A10,Sheet3!$B:$B,Sheet3!G:G,0)+_xlfn.XLOOKUP($A10,Sheet4!$B:$B,Sheet4!G:G,0)</f>
        <v>482</v>
      </c>
      <c r="AD10" s="6">
        <f>_xlfn.XLOOKUP($A10,Sheet5!$B:$B,Sheet5!G:G,0)+_xlfn.XLOOKUP($A10,Sheet6!$B:$B,Sheet6!G:G,0)</f>
        <v>532</v>
      </c>
      <c r="AE10" s="6">
        <f>_xlfn.XLOOKUP($A10,Sheet7!$B:$B,Sheet7!G:G,0)+_xlfn.XLOOKUP($A10,Sheet8!$B:$B,Sheet8!G:G,0)</f>
        <v>442</v>
      </c>
      <c r="AF10" s="6" cm="1">
        <f t="array" ref="AF10">SUM(IFERROR(AB10:AE10,0))</f>
        <v>1750</v>
      </c>
      <c r="AG10" s="6">
        <f t="shared" si="0"/>
        <v>7</v>
      </c>
    </row>
    <row r="11" spans="1:67" ht="15.6" x14ac:dyDescent="0.3">
      <c r="A11" s="6" t="s">
        <v>76</v>
      </c>
      <c r="B11" s="6" t="str">
        <f>_xlfn.XLOOKUP($A11,Sheet3!$B:$B,Sheet3!D:D)</f>
        <v>华中师范大学第一附属中学</v>
      </c>
      <c r="C11" s="7" t="str">
        <f>_xlfn.XLOOKUP($A11,Sheet3!$B:$B,Sheet3!E:E)</f>
        <v>伍敬宇</v>
      </c>
      <c r="D11" s="6">
        <f>_xlfn.XLOOKUP($A11,Sheet1!$B:$B,Sheet1!H:H)</f>
        <v>100</v>
      </c>
      <c r="E11" s="6">
        <f>_xlfn.XLOOKUP($A11,Sheet1!$B:$B,Sheet1!I:I)</f>
        <v>42</v>
      </c>
      <c r="F11" s="6">
        <f>_xlfn.XLOOKUP($A11,Sheet1!$B:$B,Sheet1!J:J)</f>
        <v>25</v>
      </c>
      <c r="G11" s="6">
        <f>_xlfn.XLOOKUP($A11,Sheet2!$B:$B,Sheet2!H:H)</f>
        <v>100</v>
      </c>
      <c r="H11" s="6">
        <f>_xlfn.XLOOKUP($A11,Sheet2!$B:$B,Sheet2!I:I)</f>
        <v>56</v>
      </c>
      <c r="I11" s="7">
        <f>_xlfn.XLOOKUP($A11,Sheet2!$B:$B,Sheet2!J:J)</f>
        <v>34</v>
      </c>
      <c r="J11" s="8">
        <f>_xlfn.XLOOKUP($A11,Sheet3!$B:$B,Sheet3!H:H)</f>
        <v>100</v>
      </c>
      <c r="K11" s="8">
        <f>_xlfn.XLOOKUP($A11,Sheet3!$B:$B,Sheet3!I:I)</f>
        <v>100</v>
      </c>
      <c r="L11" s="8">
        <f>_xlfn.XLOOKUP($A11,Sheet3!$B:$B,Sheet3!J:J)</f>
        <v>60</v>
      </c>
      <c r="M11" s="8">
        <f>_xlfn.XLOOKUP($A11,Sheet4!$B:$B,Sheet4!H:H)</f>
        <v>100</v>
      </c>
      <c r="N11" s="8">
        <f>_xlfn.XLOOKUP($A11,Sheet4!$B:$B,Sheet4!I:I)</f>
        <v>100</v>
      </c>
      <c r="O11" s="9">
        <f>_xlfn.XLOOKUP($A11,Sheet4!$B:$B,Sheet4!J:J)</f>
        <v>100</v>
      </c>
      <c r="P11" s="8">
        <f>_xlfn.XLOOKUP($A11,Sheet5!$B:$B,Sheet5!H:H)</f>
        <v>100</v>
      </c>
      <c r="Q11" s="8">
        <f>_xlfn.XLOOKUP($A11,Sheet5!$B:$B,Sheet5!I:I)</f>
        <v>58</v>
      </c>
      <c r="R11" s="8">
        <f>_xlfn.XLOOKUP($A11,Sheet5!$B:$B,Sheet5!J:J)</f>
        <v>30</v>
      </c>
      <c r="S11" s="8">
        <f>_xlfn.XLOOKUP($A11,Sheet6!$B:$B,Sheet6!H:H)</f>
        <v>100</v>
      </c>
      <c r="T11" s="8">
        <f>_xlfn.XLOOKUP($A11,Sheet6!$B:$B,Sheet6!I:I)</f>
        <v>100</v>
      </c>
      <c r="U11" s="9">
        <f>_xlfn.XLOOKUP($A11,Sheet6!$B:$B,Sheet6!J:J)</f>
        <v>24</v>
      </c>
      <c r="V11" s="8">
        <f>_xlfn.XLOOKUP($A11,Sheet7!$B:$B,Sheet7!H:H)</f>
        <v>100</v>
      </c>
      <c r="W11" s="8">
        <f>_xlfn.XLOOKUP($A11,Sheet7!$B:$B,Sheet7!I:I)</f>
        <v>100</v>
      </c>
      <c r="X11" s="8">
        <f>_xlfn.XLOOKUP($A11,Sheet7!$B:$B,Sheet7!J:J)</f>
        <v>85</v>
      </c>
      <c r="Y11" s="8">
        <f>_xlfn.XLOOKUP($A11,Sheet8!$B:$B,Sheet8!H:H)</f>
        <v>100</v>
      </c>
      <c r="Z11" s="8">
        <f>_xlfn.XLOOKUP($A11,Sheet8!$B:$B,Sheet8!I:I)</f>
        <v>0</v>
      </c>
      <c r="AA11" s="9">
        <f>_xlfn.XLOOKUP($A11,Sheet8!$B:$B,Sheet8!J:J)</f>
        <v>35</v>
      </c>
      <c r="AB11" s="6">
        <f>_xlfn.XLOOKUP($A11,Sheet1!$B:$B,Sheet1!G:G,0)+_xlfn.XLOOKUP($A11,Sheet2!$B:$B,Sheet2!G:G,0)</f>
        <v>357</v>
      </c>
      <c r="AC11" s="6">
        <f>_xlfn.XLOOKUP($A11,Sheet3!$B:$B,Sheet3!G:G,0)+_xlfn.XLOOKUP($A11,Sheet4!$B:$B,Sheet4!G:G,0)</f>
        <v>560</v>
      </c>
      <c r="AD11" s="6">
        <f>_xlfn.XLOOKUP($A11,Sheet5!$B:$B,Sheet5!G:G,0)+_xlfn.XLOOKUP($A11,Sheet6!$B:$B,Sheet6!G:G,0)</f>
        <v>412</v>
      </c>
      <c r="AE11" s="6">
        <f>_xlfn.XLOOKUP($A11,Sheet7!$B:$B,Sheet7!G:G,0)+_xlfn.XLOOKUP($A11,Sheet8!$B:$B,Sheet8!G:G,0)</f>
        <v>420</v>
      </c>
      <c r="AF11" s="6" cm="1">
        <f t="array" ref="AF11">SUM(IFERROR(AB11:AE11,0))</f>
        <v>1749</v>
      </c>
      <c r="AG11" s="6">
        <f t="shared" si="0"/>
        <v>8</v>
      </c>
    </row>
    <row r="12" spans="1:67" ht="15.6" x14ac:dyDescent="0.3">
      <c r="A12" s="6" t="s">
        <v>36</v>
      </c>
      <c r="B12" s="6" t="str">
        <f>_xlfn.XLOOKUP($A12,Sheet3!$B:$B,Sheet3!D:D)</f>
        <v>华南师范大学附属中学</v>
      </c>
      <c r="C12" s="7" t="str">
        <f>_xlfn.XLOOKUP($A12,Sheet3!$B:$B,Sheet3!E:E)</f>
        <v>叶隽霖</v>
      </c>
      <c r="D12" s="6">
        <f>_xlfn.XLOOKUP($A12,Sheet1!$B:$B,Sheet1!H:H)</f>
        <v>100</v>
      </c>
      <c r="E12" s="6">
        <f>_xlfn.XLOOKUP($A12,Sheet1!$B:$B,Sheet1!I:I)</f>
        <v>100</v>
      </c>
      <c r="F12" s="6">
        <f>_xlfn.XLOOKUP($A12,Sheet1!$B:$B,Sheet1!J:J)</f>
        <v>25</v>
      </c>
      <c r="G12" s="6">
        <f>_xlfn.XLOOKUP($A12,Sheet2!$B:$B,Sheet2!H:H)</f>
        <v>100</v>
      </c>
      <c r="H12" s="6">
        <f>_xlfn.XLOOKUP($A12,Sheet2!$B:$B,Sheet2!I:I)</f>
        <v>100</v>
      </c>
      <c r="I12" s="7">
        <f>_xlfn.XLOOKUP($A12,Sheet2!$B:$B,Sheet2!J:J)</f>
        <v>25</v>
      </c>
      <c r="J12" s="8">
        <f>_xlfn.XLOOKUP($A12,Sheet3!$B:$B,Sheet3!H:H)</f>
        <v>100</v>
      </c>
      <c r="K12" s="8">
        <f>_xlfn.XLOOKUP($A12,Sheet3!$B:$B,Sheet3!I:I)</f>
        <v>100</v>
      </c>
      <c r="L12" s="8">
        <f>_xlfn.XLOOKUP($A12,Sheet3!$B:$B,Sheet3!J:J)</f>
        <v>70</v>
      </c>
      <c r="M12" s="8">
        <f>_xlfn.XLOOKUP($A12,Sheet4!$B:$B,Sheet4!H:H)</f>
        <v>100</v>
      </c>
      <c r="N12" s="8">
        <f>_xlfn.XLOOKUP($A12,Sheet4!$B:$B,Sheet4!I:I)</f>
        <v>100</v>
      </c>
      <c r="O12" s="9">
        <f>_xlfn.XLOOKUP($A12,Sheet4!$B:$B,Sheet4!J:J)</f>
        <v>22</v>
      </c>
      <c r="P12" s="8">
        <f>_xlfn.XLOOKUP($A12,Sheet5!$B:$B,Sheet5!H:H)</f>
        <v>100</v>
      </c>
      <c r="Q12" s="8">
        <f>_xlfn.XLOOKUP($A12,Sheet5!$B:$B,Sheet5!I:I)</f>
        <v>100</v>
      </c>
      <c r="R12" s="8">
        <f>_xlfn.XLOOKUP($A12,Sheet5!$B:$B,Sheet5!J:J)</f>
        <v>100</v>
      </c>
      <c r="S12" s="8">
        <f>_xlfn.XLOOKUP($A12,Sheet6!$B:$B,Sheet6!H:H)</f>
        <v>100</v>
      </c>
      <c r="T12" s="8">
        <f>_xlfn.XLOOKUP($A12,Sheet6!$B:$B,Sheet6!I:I)</f>
        <v>100</v>
      </c>
      <c r="U12" s="9">
        <f>_xlfn.XLOOKUP($A12,Sheet6!$B:$B,Sheet6!J:J)</f>
        <v>100</v>
      </c>
      <c r="V12" s="8">
        <f>_xlfn.XLOOKUP($A12,Sheet7!$B:$B,Sheet7!H:H)</f>
        <v>100</v>
      </c>
      <c r="W12" s="8">
        <f>_xlfn.XLOOKUP($A12,Sheet7!$B:$B,Sheet7!I:I)</f>
        <v>0</v>
      </c>
      <c r="X12" s="8">
        <f>_xlfn.XLOOKUP($A12,Sheet7!$B:$B,Sheet7!J:J)</f>
        <v>0</v>
      </c>
      <c r="Y12" s="8">
        <f>_xlfn.XLOOKUP($A12,Sheet8!$B:$B,Sheet8!H:H)</f>
        <v>100</v>
      </c>
      <c r="Z12" s="8">
        <f>_xlfn.XLOOKUP($A12,Sheet8!$B:$B,Sheet8!I:I)</f>
        <v>0</v>
      </c>
      <c r="AA12" s="9">
        <f>_xlfn.XLOOKUP($A12,Sheet8!$B:$B,Sheet8!J:J)</f>
        <v>0</v>
      </c>
      <c r="AB12" s="6">
        <f>_xlfn.XLOOKUP($A12,Sheet1!$B:$B,Sheet1!G:G,0)+_xlfn.XLOOKUP($A12,Sheet2!$B:$B,Sheet2!G:G,0)</f>
        <v>450</v>
      </c>
      <c r="AC12" s="6">
        <f>_xlfn.XLOOKUP($A12,Sheet3!$B:$B,Sheet3!G:G,0)+_xlfn.XLOOKUP($A12,Sheet4!$B:$B,Sheet4!G:G,0)</f>
        <v>492</v>
      </c>
      <c r="AD12" s="6">
        <f>_xlfn.XLOOKUP($A12,Sheet5!$B:$B,Sheet5!G:G,0)+_xlfn.XLOOKUP($A12,Sheet6!$B:$B,Sheet6!G:G,0)</f>
        <v>600</v>
      </c>
      <c r="AE12" s="6">
        <f>_xlfn.XLOOKUP($A12,Sheet7!$B:$B,Sheet7!G:G,0)+_xlfn.XLOOKUP($A12,Sheet8!$B:$B,Sheet8!G:G,0)</f>
        <v>200</v>
      </c>
      <c r="AF12" s="6" cm="1">
        <f t="array" ref="AF12">SUM(IFERROR(AB12:AE12,0))</f>
        <v>1742</v>
      </c>
      <c r="AG12" s="6">
        <f t="shared" si="0"/>
        <v>9</v>
      </c>
    </row>
    <row r="13" spans="1:67" ht="15.6" x14ac:dyDescent="0.3">
      <c r="A13" s="6" t="s">
        <v>50</v>
      </c>
      <c r="B13" s="6" t="str">
        <f>_xlfn.XLOOKUP($A13,Sheet3!$B:$B,Sheet3!D:D)</f>
        <v>西南大学附属中学校</v>
      </c>
      <c r="C13" s="7" t="str">
        <f>_xlfn.XLOOKUP($A13,Sheet3!$B:$B,Sheet3!E:E)</f>
        <v>刘恒卓</v>
      </c>
      <c r="D13" s="6">
        <f>_xlfn.XLOOKUP($A13,Sheet1!$B:$B,Sheet1!H:H)</f>
        <v>100</v>
      </c>
      <c r="E13" s="6">
        <f>_xlfn.XLOOKUP($A13,Sheet1!$B:$B,Sheet1!I:I)</f>
        <v>100</v>
      </c>
      <c r="F13" s="6">
        <f>_xlfn.XLOOKUP($A13,Sheet1!$B:$B,Sheet1!J:J)</f>
        <v>7</v>
      </c>
      <c r="G13" s="6">
        <f>_xlfn.XLOOKUP($A13,Sheet2!$B:$B,Sheet2!H:H)</f>
        <v>100</v>
      </c>
      <c r="H13" s="6">
        <f>_xlfn.XLOOKUP($A13,Sheet2!$B:$B,Sheet2!I:I)</f>
        <v>56</v>
      </c>
      <c r="I13" s="7">
        <f>_xlfn.XLOOKUP($A13,Sheet2!$B:$B,Sheet2!J:J)</f>
        <v>34</v>
      </c>
      <c r="J13" s="8">
        <f>_xlfn.XLOOKUP($A13,Sheet3!$B:$B,Sheet3!H:H)</f>
        <v>100</v>
      </c>
      <c r="K13" s="8">
        <f>_xlfn.XLOOKUP($A13,Sheet3!$B:$B,Sheet3!I:I)</f>
        <v>100</v>
      </c>
      <c r="L13" s="8">
        <f>_xlfn.XLOOKUP($A13,Sheet3!$B:$B,Sheet3!J:J)</f>
        <v>80</v>
      </c>
      <c r="M13" s="8">
        <f>_xlfn.XLOOKUP($A13,Sheet4!$B:$B,Sheet4!H:H)</f>
        <v>100</v>
      </c>
      <c r="N13" s="8">
        <f>_xlfn.XLOOKUP($A13,Sheet4!$B:$B,Sheet4!I:I)</f>
        <v>65</v>
      </c>
      <c r="O13" s="9">
        <f>_xlfn.XLOOKUP($A13,Sheet4!$B:$B,Sheet4!J:J)</f>
        <v>12</v>
      </c>
      <c r="P13" s="8">
        <f>_xlfn.XLOOKUP($A13,Sheet5!$B:$B,Sheet5!H:H)</f>
        <v>100</v>
      </c>
      <c r="Q13" s="8">
        <f>_xlfn.XLOOKUP($A13,Sheet5!$B:$B,Sheet5!I:I)</f>
        <v>16</v>
      </c>
      <c r="R13" s="8">
        <f>_xlfn.XLOOKUP($A13,Sheet5!$B:$B,Sheet5!J:J)</f>
        <v>100</v>
      </c>
      <c r="S13" s="8">
        <f>_xlfn.XLOOKUP($A13,Sheet6!$B:$B,Sheet6!H:H)</f>
        <v>100</v>
      </c>
      <c r="T13" s="8">
        <f>_xlfn.XLOOKUP($A13,Sheet6!$B:$B,Sheet6!I:I)</f>
        <v>100</v>
      </c>
      <c r="U13" s="9">
        <f>_xlfn.XLOOKUP($A13,Sheet6!$B:$B,Sheet6!J:J)</f>
        <v>24</v>
      </c>
      <c r="V13" s="8">
        <f>_xlfn.XLOOKUP($A13,Sheet7!$B:$B,Sheet7!H:H)</f>
        <v>100</v>
      </c>
      <c r="W13" s="8">
        <f>_xlfn.XLOOKUP($A13,Sheet7!$B:$B,Sheet7!I:I)</f>
        <v>90</v>
      </c>
      <c r="X13" s="8">
        <f>_xlfn.XLOOKUP($A13,Sheet7!$B:$B,Sheet7!J:J)</f>
        <v>50</v>
      </c>
      <c r="Y13" s="8">
        <f>_xlfn.XLOOKUP($A13,Sheet8!$B:$B,Sheet8!H:H)</f>
        <v>100</v>
      </c>
      <c r="Z13" s="8">
        <f>_xlfn.XLOOKUP($A13,Sheet8!$B:$B,Sheet8!I:I)</f>
        <v>65</v>
      </c>
      <c r="AA13" s="9">
        <f>_xlfn.XLOOKUP($A13,Sheet8!$B:$B,Sheet8!J:J)</f>
        <v>35</v>
      </c>
      <c r="AB13" s="6">
        <f>_xlfn.XLOOKUP($A13,Sheet1!$B:$B,Sheet1!G:G,0)+_xlfn.XLOOKUP($A13,Sheet2!$B:$B,Sheet2!G:G,0)</f>
        <v>397</v>
      </c>
      <c r="AC13" s="6">
        <f>_xlfn.XLOOKUP($A13,Sheet3!$B:$B,Sheet3!G:G,0)+_xlfn.XLOOKUP($A13,Sheet4!$B:$B,Sheet4!G:G,0)</f>
        <v>457</v>
      </c>
      <c r="AD13" s="6">
        <f>_xlfn.XLOOKUP($A13,Sheet5!$B:$B,Sheet5!G:G,0)+_xlfn.XLOOKUP($A13,Sheet6!$B:$B,Sheet6!G:G,0)</f>
        <v>440</v>
      </c>
      <c r="AE13" s="6">
        <f>_xlfn.XLOOKUP($A13,Sheet7!$B:$B,Sheet7!G:G,0)+_xlfn.XLOOKUP($A13,Sheet8!$B:$B,Sheet8!G:G,0)</f>
        <v>440</v>
      </c>
      <c r="AF13" s="6" cm="1">
        <f t="array" ref="AF13">SUM(IFERROR(AB13:AE13,0))</f>
        <v>1734</v>
      </c>
      <c r="AG13" s="6">
        <f t="shared" si="0"/>
        <v>10</v>
      </c>
    </row>
    <row r="14" spans="1:67" ht="15.6" x14ac:dyDescent="0.3">
      <c r="A14" s="6" t="s">
        <v>79</v>
      </c>
      <c r="B14" s="6" t="str">
        <f>_xlfn.XLOOKUP($A14,Sheet3!$B:$B,Sheet3!D:D)</f>
        <v>广州大学附属中学</v>
      </c>
      <c r="C14" s="7" t="str">
        <f>_xlfn.XLOOKUP($A14,Sheet3!$B:$B,Sheet3!E:E)</f>
        <v>黄豆</v>
      </c>
      <c r="D14" s="6">
        <f>_xlfn.XLOOKUP($A14,Sheet1!$B:$B,Sheet1!H:H)</f>
        <v>100</v>
      </c>
      <c r="E14" s="6">
        <f>_xlfn.XLOOKUP($A14,Sheet1!$B:$B,Sheet1!I:I)</f>
        <v>42</v>
      </c>
      <c r="F14" s="6">
        <f>_xlfn.XLOOKUP($A14,Sheet1!$B:$B,Sheet1!J:J)</f>
        <v>25</v>
      </c>
      <c r="G14" s="6">
        <f>_xlfn.XLOOKUP($A14,Sheet2!$B:$B,Sheet2!H:H)</f>
        <v>100</v>
      </c>
      <c r="H14" s="6">
        <f>_xlfn.XLOOKUP($A14,Sheet2!$B:$B,Sheet2!I:I)</f>
        <v>56</v>
      </c>
      <c r="I14" s="7">
        <f>_xlfn.XLOOKUP($A14,Sheet2!$B:$B,Sheet2!J:J)</f>
        <v>58</v>
      </c>
      <c r="J14" s="8">
        <f>_xlfn.XLOOKUP($A14,Sheet3!$B:$B,Sheet3!H:H)</f>
        <v>100</v>
      </c>
      <c r="K14" s="8">
        <f>_xlfn.XLOOKUP($A14,Sheet3!$B:$B,Sheet3!I:I)</f>
        <v>60</v>
      </c>
      <c r="L14" s="8">
        <f>_xlfn.XLOOKUP($A14,Sheet3!$B:$B,Sheet3!J:J)</f>
        <v>50</v>
      </c>
      <c r="M14" s="8">
        <f>_xlfn.XLOOKUP($A14,Sheet4!$B:$B,Sheet4!H:H)</f>
        <v>100</v>
      </c>
      <c r="N14" s="8">
        <f>_xlfn.XLOOKUP($A14,Sheet4!$B:$B,Sheet4!I:I)</f>
        <v>100</v>
      </c>
      <c r="O14" s="9">
        <f>_xlfn.XLOOKUP($A14,Sheet4!$B:$B,Sheet4!J:J)</f>
        <v>69</v>
      </c>
      <c r="P14" s="8">
        <f>_xlfn.XLOOKUP($A14,Sheet5!$B:$B,Sheet5!H:H)</f>
        <v>100</v>
      </c>
      <c r="Q14" s="8">
        <f>_xlfn.XLOOKUP($A14,Sheet5!$B:$B,Sheet5!I:I)</f>
        <v>48</v>
      </c>
      <c r="R14" s="8">
        <f>_xlfn.XLOOKUP($A14,Sheet5!$B:$B,Sheet5!J:J)</f>
        <v>30</v>
      </c>
      <c r="S14" s="8">
        <f>_xlfn.XLOOKUP($A14,Sheet6!$B:$B,Sheet6!H:H)</f>
        <v>100</v>
      </c>
      <c r="T14" s="8">
        <f>_xlfn.XLOOKUP($A14,Sheet6!$B:$B,Sheet6!I:I)</f>
        <v>100</v>
      </c>
      <c r="U14" s="9">
        <f>_xlfn.XLOOKUP($A14,Sheet6!$B:$B,Sheet6!J:J)</f>
        <v>100</v>
      </c>
      <c r="V14" s="8">
        <f>_xlfn.XLOOKUP($A14,Sheet7!$B:$B,Sheet7!H:H)</f>
        <v>100</v>
      </c>
      <c r="W14" s="8">
        <f>_xlfn.XLOOKUP($A14,Sheet7!$B:$B,Sheet7!I:I)</f>
        <v>90</v>
      </c>
      <c r="X14" s="8">
        <f>_xlfn.XLOOKUP($A14,Sheet7!$B:$B,Sheet7!J:J)</f>
        <v>10</v>
      </c>
      <c r="Y14" s="8">
        <f>_xlfn.XLOOKUP($A14,Sheet8!$B:$B,Sheet8!H:H)</f>
        <v>100</v>
      </c>
      <c r="Z14" s="8">
        <f>_xlfn.XLOOKUP($A14,Sheet8!$B:$B,Sheet8!I:I)</f>
        <v>65</v>
      </c>
      <c r="AA14" s="9">
        <f>_xlfn.XLOOKUP($A14,Sheet8!$B:$B,Sheet8!J:J)</f>
        <v>15</v>
      </c>
      <c r="AB14" s="6">
        <f>_xlfn.XLOOKUP($A14,Sheet1!$B:$B,Sheet1!G:G,0)+_xlfn.XLOOKUP($A14,Sheet2!$B:$B,Sheet2!G:G,0)</f>
        <v>381</v>
      </c>
      <c r="AC14" s="6">
        <f>_xlfn.XLOOKUP($A14,Sheet3!$B:$B,Sheet3!G:G,0)+_xlfn.XLOOKUP($A14,Sheet4!$B:$B,Sheet4!G:G,0)</f>
        <v>479</v>
      </c>
      <c r="AD14" s="6">
        <f>_xlfn.XLOOKUP($A14,Sheet5!$B:$B,Sheet5!G:G,0)+_xlfn.XLOOKUP($A14,Sheet6!$B:$B,Sheet6!G:G,0)</f>
        <v>478</v>
      </c>
      <c r="AE14" s="6">
        <f>_xlfn.XLOOKUP($A14,Sheet7!$B:$B,Sheet7!G:G,0)+_xlfn.XLOOKUP($A14,Sheet8!$B:$B,Sheet8!G:G,0)</f>
        <v>380</v>
      </c>
      <c r="AF14" s="6" cm="1">
        <f t="array" ref="AF14">SUM(IFERROR(AB14:AE14,0))</f>
        <v>1718</v>
      </c>
      <c r="AG14" s="6">
        <f t="shared" si="0"/>
        <v>11</v>
      </c>
    </row>
    <row r="15" spans="1:67" ht="15.6" x14ac:dyDescent="0.3">
      <c r="A15" s="6" t="s">
        <v>39</v>
      </c>
      <c r="B15" s="6" t="str">
        <f>_xlfn.XLOOKUP($A15,Sheet3!$B:$B,Sheet3!D:D)</f>
        <v>唐山市第一中学</v>
      </c>
      <c r="C15" s="7" t="str">
        <f>_xlfn.XLOOKUP($A15,Sheet3!$B:$B,Sheet3!E:E)</f>
        <v>范小冉</v>
      </c>
      <c r="D15" s="6">
        <f>_xlfn.XLOOKUP($A15,Sheet1!$B:$B,Sheet1!H:H)</f>
        <v>100</v>
      </c>
      <c r="E15" s="6">
        <f>_xlfn.XLOOKUP($A15,Sheet1!$B:$B,Sheet1!I:I)</f>
        <v>100</v>
      </c>
      <c r="F15" s="6">
        <f>_xlfn.XLOOKUP($A15,Sheet1!$B:$B,Sheet1!J:J)</f>
        <v>18</v>
      </c>
      <c r="G15" s="6">
        <f>_xlfn.XLOOKUP($A15,Sheet2!$B:$B,Sheet2!H:H)</f>
        <v>100</v>
      </c>
      <c r="H15" s="6">
        <f>_xlfn.XLOOKUP($A15,Sheet2!$B:$B,Sheet2!I:I)</f>
        <v>0</v>
      </c>
      <c r="I15" s="7">
        <f>_xlfn.XLOOKUP($A15,Sheet2!$B:$B,Sheet2!J:J)</f>
        <v>34</v>
      </c>
      <c r="J15" s="8">
        <f>_xlfn.XLOOKUP($A15,Sheet3!$B:$B,Sheet3!H:H)</f>
        <v>84</v>
      </c>
      <c r="K15" s="8">
        <f>_xlfn.XLOOKUP($A15,Sheet3!$B:$B,Sheet3!I:I)</f>
        <v>100</v>
      </c>
      <c r="L15" s="8">
        <f>_xlfn.XLOOKUP($A15,Sheet3!$B:$B,Sheet3!J:J)</f>
        <v>40</v>
      </c>
      <c r="M15" s="8">
        <f>_xlfn.XLOOKUP($A15,Sheet4!$B:$B,Sheet4!H:H)</f>
        <v>100</v>
      </c>
      <c r="N15" s="8">
        <f>_xlfn.XLOOKUP($A15,Sheet4!$B:$B,Sheet4!I:I)</f>
        <v>11</v>
      </c>
      <c r="O15" s="9">
        <f>_xlfn.XLOOKUP($A15,Sheet4!$B:$B,Sheet4!J:J)</f>
        <v>100</v>
      </c>
      <c r="P15" s="8">
        <f>_xlfn.XLOOKUP($A15,Sheet5!$B:$B,Sheet5!H:H)</f>
        <v>100</v>
      </c>
      <c r="Q15" s="8">
        <f>_xlfn.XLOOKUP($A15,Sheet5!$B:$B,Sheet5!I:I)</f>
        <v>74</v>
      </c>
      <c r="R15" s="8">
        <f>_xlfn.XLOOKUP($A15,Sheet5!$B:$B,Sheet5!J:J)</f>
        <v>30</v>
      </c>
      <c r="S15" s="8">
        <f>_xlfn.XLOOKUP($A15,Sheet6!$B:$B,Sheet6!H:H)</f>
        <v>100</v>
      </c>
      <c r="T15" s="8">
        <f>_xlfn.XLOOKUP($A15,Sheet6!$B:$B,Sheet6!I:I)</f>
        <v>100</v>
      </c>
      <c r="U15" s="9">
        <f>_xlfn.XLOOKUP($A15,Sheet6!$B:$B,Sheet6!J:J)</f>
        <v>100</v>
      </c>
      <c r="V15" s="8">
        <f>_xlfn.XLOOKUP($A15,Sheet7!$B:$B,Sheet7!H:H)</f>
        <v>0</v>
      </c>
      <c r="W15" s="8">
        <f>_xlfn.XLOOKUP($A15,Sheet7!$B:$B,Sheet7!I:I)</f>
        <v>90</v>
      </c>
      <c r="X15" s="8">
        <f>_xlfn.XLOOKUP($A15,Sheet7!$B:$B,Sheet7!J:J)</f>
        <v>100</v>
      </c>
      <c r="Y15" s="8">
        <f>_xlfn.XLOOKUP($A15,Sheet8!$B:$B,Sheet8!H:H)</f>
        <v>100</v>
      </c>
      <c r="Z15" s="8">
        <f>_xlfn.XLOOKUP($A15,Sheet8!$B:$B,Sheet8!I:I)</f>
        <v>100</v>
      </c>
      <c r="AA15" s="9">
        <f>_xlfn.XLOOKUP($A15,Sheet8!$B:$B,Sheet8!J:J)</f>
        <v>0</v>
      </c>
      <c r="AB15" s="6">
        <f>_xlfn.XLOOKUP($A15,Sheet1!$B:$B,Sheet1!G:G,0)+_xlfn.XLOOKUP($A15,Sheet2!$B:$B,Sheet2!G:G,0)</f>
        <v>352</v>
      </c>
      <c r="AC15" s="6">
        <f>_xlfn.XLOOKUP($A15,Sheet3!$B:$B,Sheet3!G:G,0)+_xlfn.XLOOKUP($A15,Sheet4!$B:$B,Sheet4!G:G,0)</f>
        <v>435</v>
      </c>
      <c r="AD15" s="6">
        <f>_xlfn.XLOOKUP($A15,Sheet5!$B:$B,Sheet5!G:G,0)+_xlfn.XLOOKUP($A15,Sheet6!$B:$B,Sheet6!G:G,0)</f>
        <v>504</v>
      </c>
      <c r="AE15" s="6">
        <f>_xlfn.XLOOKUP($A15,Sheet7!$B:$B,Sheet7!G:G,0)+_xlfn.XLOOKUP($A15,Sheet8!$B:$B,Sheet8!G:G,0)</f>
        <v>390</v>
      </c>
      <c r="AF15" s="6" cm="1">
        <f t="array" ref="AF15">SUM(IFERROR(AB15:AE15,0))</f>
        <v>1681</v>
      </c>
      <c r="AG15" s="6">
        <f t="shared" si="0"/>
        <v>12</v>
      </c>
    </row>
    <row r="16" spans="1:67" ht="15.6" x14ac:dyDescent="0.3">
      <c r="A16" s="6" t="s">
        <v>14</v>
      </c>
      <c r="B16" s="6" t="str">
        <f>_xlfn.XLOOKUP($A16,Sheet3!$B:$B,Sheet3!D:D)</f>
        <v>华南师范大学附属中学</v>
      </c>
      <c r="C16" s="7" t="str">
        <f>_xlfn.XLOOKUP($A16,Sheet3!$B:$B,Sheet3!E:E)</f>
        <v>叶名瀚</v>
      </c>
      <c r="D16" s="6">
        <f>_xlfn.XLOOKUP($A16,Sheet1!$B:$B,Sheet1!H:H)</f>
        <v>100</v>
      </c>
      <c r="E16" s="6">
        <f>_xlfn.XLOOKUP($A16,Sheet1!$B:$B,Sheet1!I:I)</f>
        <v>100</v>
      </c>
      <c r="F16" s="6">
        <f>_xlfn.XLOOKUP($A16,Sheet1!$B:$B,Sheet1!J:J)</f>
        <v>34</v>
      </c>
      <c r="G16" s="6">
        <f>_xlfn.XLOOKUP($A16,Sheet2!$B:$B,Sheet2!H:H)</f>
        <v>100</v>
      </c>
      <c r="H16" s="6">
        <f>_xlfn.XLOOKUP($A16,Sheet2!$B:$B,Sheet2!I:I)</f>
        <v>44</v>
      </c>
      <c r="I16" s="7">
        <f>_xlfn.XLOOKUP($A16,Sheet2!$B:$B,Sheet2!J:J)</f>
        <v>4</v>
      </c>
      <c r="J16" s="8">
        <f>_xlfn.XLOOKUP($A16,Sheet3!$B:$B,Sheet3!H:H)</f>
        <v>100</v>
      </c>
      <c r="K16" s="8">
        <f>_xlfn.XLOOKUP($A16,Sheet3!$B:$B,Sheet3!I:I)</f>
        <v>100</v>
      </c>
      <c r="L16" s="8">
        <f>_xlfn.XLOOKUP($A16,Sheet3!$B:$B,Sheet3!J:J)</f>
        <v>40</v>
      </c>
      <c r="M16" s="8">
        <f>_xlfn.XLOOKUP($A16,Sheet4!$B:$B,Sheet4!H:H)</f>
        <v>100</v>
      </c>
      <c r="N16" s="8">
        <f>_xlfn.XLOOKUP($A16,Sheet4!$B:$B,Sheet4!I:I)</f>
        <v>95</v>
      </c>
      <c r="O16" s="9">
        <f>_xlfn.XLOOKUP($A16,Sheet4!$B:$B,Sheet4!J:J)</f>
        <v>22</v>
      </c>
      <c r="P16" s="8">
        <f>_xlfn.XLOOKUP($A16,Sheet5!$B:$B,Sheet5!H:H)</f>
        <v>100</v>
      </c>
      <c r="Q16" s="8">
        <f>_xlfn.XLOOKUP($A16,Sheet5!$B:$B,Sheet5!I:I)</f>
        <v>32</v>
      </c>
      <c r="R16" s="8">
        <f>_xlfn.XLOOKUP($A16,Sheet5!$B:$B,Sheet5!J:J)</f>
        <v>0</v>
      </c>
      <c r="S16" s="8">
        <f>_xlfn.XLOOKUP($A16,Sheet6!$B:$B,Sheet6!H:H)</f>
        <v>100</v>
      </c>
      <c r="T16" s="8">
        <f>_xlfn.XLOOKUP($A16,Sheet6!$B:$B,Sheet6!I:I)</f>
        <v>100</v>
      </c>
      <c r="U16" s="9">
        <f>_xlfn.XLOOKUP($A16,Sheet6!$B:$B,Sheet6!J:J)</f>
        <v>20</v>
      </c>
      <c r="V16" s="8">
        <f>_xlfn.XLOOKUP($A16,Sheet7!$B:$B,Sheet7!H:H)</f>
        <v>100</v>
      </c>
      <c r="W16" s="8">
        <f>_xlfn.XLOOKUP($A16,Sheet7!$B:$B,Sheet7!I:I)</f>
        <v>100</v>
      </c>
      <c r="X16" s="8">
        <f>_xlfn.XLOOKUP($A16,Sheet7!$B:$B,Sheet7!J:J)</f>
        <v>86</v>
      </c>
      <c r="Y16" s="8">
        <f>_xlfn.XLOOKUP($A16,Sheet8!$B:$B,Sheet8!H:H)</f>
        <v>100</v>
      </c>
      <c r="Z16" s="8">
        <f>_xlfn.XLOOKUP($A16,Sheet8!$B:$B,Sheet8!I:I)</f>
        <v>65</v>
      </c>
      <c r="AA16" s="9">
        <f>_xlfn.XLOOKUP($A16,Sheet8!$B:$B,Sheet8!J:J)</f>
        <v>15</v>
      </c>
      <c r="AB16" s="6">
        <f>_xlfn.XLOOKUP($A16,Sheet1!$B:$B,Sheet1!G:G,0)+_xlfn.XLOOKUP($A16,Sheet2!$B:$B,Sheet2!G:G,0)</f>
        <v>382</v>
      </c>
      <c r="AC16" s="6">
        <f>_xlfn.XLOOKUP($A16,Sheet3!$B:$B,Sheet3!G:G,0)+_xlfn.XLOOKUP($A16,Sheet4!$B:$B,Sheet4!G:G,0)</f>
        <v>457</v>
      </c>
      <c r="AD16" s="6">
        <f>_xlfn.XLOOKUP($A16,Sheet5!$B:$B,Sheet5!G:G,0)+_xlfn.XLOOKUP($A16,Sheet6!$B:$B,Sheet6!G:G,0)</f>
        <v>352</v>
      </c>
      <c r="AE16" s="6">
        <f>_xlfn.XLOOKUP($A16,Sheet7!$B:$B,Sheet7!G:G,0)+_xlfn.XLOOKUP($A16,Sheet8!$B:$B,Sheet8!G:G,0)</f>
        <v>466</v>
      </c>
      <c r="AF16" s="6" cm="1">
        <f t="array" ref="AF16">SUM(IFERROR(AB16:AE16,0))</f>
        <v>1657</v>
      </c>
      <c r="AG16" s="6">
        <f t="shared" si="0"/>
        <v>13</v>
      </c>
    </row>
    <row r="17" spans="1:33" ht="15.6" x14ac:dyDescent="0.3">
      <c r="A17" s="6" t="s">
        <v>66</v>
      </c>
      <c r="B17" s="6" t="str">
        <f>_xlfn.XLOOKUP($A17,Sheet3!$B:$B,Sheet3!D:D)</f>
        <v>成都外国语学校</v>
      </c>
      <c r="C17" s="7" t="str">
        <f>_xlfn.XLOOKUP($A17,Sheet3!$B:$B,Sheet3!E:E)</f>
        <v>蒋明睿</v>
      </c>
      <c r="D17" s="6">
        <f>_xlfn.XLOOKUP($A17,Sheet1!$B:$B,Sheet1!H:H)</f>
        <v>100</v>
      </c>
      <c r="E17" s="6">
        <f>_xlfn.XLOOKUP($A17,Sheet1!$B:$B,Sheet1!I:I)</f>
        <v>100</v>
      </c>
      <c r="F17" s="6">
        <f>_xlfn.XLOOKUP($A17,Sheet1!$B:$B,Sheet1!J:J)</f>
        <v>0</v>
      </c>
      <c r="G17" s="6">
        <f>_xlfn.XLOOKUP($A17,Sheet2!$B:$B,Sheet2!H:H)</f>
        <v>100</v>
      </c>
      <c r="H17" s="6">
        <f>_xlfn.XLOOKUP($A17,Sheet2!$B:$B,Sheet2!I:I)</f>
        <v>56</v>
      </c>
      <c r="I17" s="7">
        <f>_xlfn.XLOOKUP($A17,Sheet2!$B:$B,Sheet2!J:J)</f>
        <v>12</v>
      </c>
      <c r="J17" s="8">
        <f>_xlfn.XLOOKUP($A17,Sheet3!$B:$B,Sheet3!H:H)</f>
        <v>100</v>
      </c>
      <c r="K17" s="8">
        <f>_xlfn.XLOOKUP($A17,Sheet3!$B:$B,Sheet3!I:I)</f>
        <v>100</v>
      </c>
      <c r="L17" s="8">
        <f>_xlfn.XLOOKUP($A17,Sheet3!$B:$B,Sheet3!J:J)</f>
        <v>50</v>
      </c>
      <c r="M17" s="8">
        <f>_xlfn.XLOOKUP($A17,Sheet4!$B:$B,Sheet4!H:H)</f>
        <v>100</v>
      </c>
      <c r="N17" s="8">
        <f>_xlfn.XLOOKUP($A17,Sheet4!$B:$B,Sheet4!I:I)</f>
        <v>12</v>
      </c>
      <c r="O17" s="9">
        <f>_xlfn.XLOOKUP($A17,Sheet4!$B:$B,Sheet4!J:J)</f>
        <v>0</v>
      </c>
      <c r="P17" s="8">
        <f>_xlfn.XLOOKUP($A17,Sheet5!$B:$B,Sheet5!H:H)</f>
        <v>100</v>
      </c>
      <c r="Q17" s="8">
        <f>_xlfn.XLOOKUP($A17,Sheet5!$B:$B,Sheet5!I:I)</f>
        <v>0</v>
      </c>
      <c r="R17" s="8">
        <f>_xlfn.XLOOKUP($A17,Sheet5!$B:$B,Sheet5!J:J)</f>
        <v>100</v>
      </c>
      <c r="S17" s="8">
        <f>_xlfn.XLOOKUP($A17,Sheet6!$B:$B,Sheet6!H:H)</f>
        <v>100</v>
      </c>
      <c r="T17" s="8">
        <f>_xlfn.XLOOKUP($A17,Sheet6!$B:$B,Sheet6!I:I)</f>
        <v>100</v>
      </c>
      <c r="U17" s="9">
        <f>_xlfn.XLOOKUP($A17,Sheet6!$B:$B,Sheet6!J:J)</f>
        <v>100</v>
      </c>
      <c r="V17" s="8">
        <f>_xlfn.XLOOKUP($A17,Sheet7!$B:$B,Sheet7!H:H)</f>
        <v>100</v>
      </c>
      <c r="W17" s="8">
        <f>_xlfn.XLOOKUP($A17,Sheet7!$B:$B,Sheet7!I:I)</f>
        <v>100</v>
      </c>
      <c r="X17" s="8">
        <f>_xlfn.XLOOKUP($A17,Sheet7!$B:$B,Sheet7!J:J)</f>
        <v>0</v>
      </c>
      <c r="Y17" s="8">
        <f>_xlfn.XLOOKUP($A17,Sheet8!$B:$B,Sheet8!H:H)</f>
        <v>100</v>
      </c>
      <c r="Z17" s="8">
        <f>_xlfn.XLOOKUP($A17,Sheet8!$B:$B,Sheet8!I:I)</f>
        <v>100</v>
      </c>
      <c r="AA17" s="9">
        <f>_xlfn.XLOOKUP($A17,Sheet8!$B:$B,Sheet8!J:J)</f>
        <v>10</v>
      </c>
      <c r="AB17" s="6">
        <f>_xlfn.XLOOKUP($A17,Sheet1!$B:$B,Sheet1!G:G,0)+_xlfn.XLOOKUP($A17,Sheet2!$B:$B,Sheet2!G:G,0)</f>
        <v>368</v>
      </c>
      <c r="AC17" s="6">
        <f>_xlfn.XLOOKUP($A17,Sheet3!$B:$B,Sheet3!G:G,0)+_xlfn.XLOOKUP($A17,Sheet4!$B:$B,Sheet4!G:G,0)</f>
        <v>362</v>
      </c>
      <c r="AD17" s="6">
        <f>_xlfn.XLOOKUP($A17,Sheet5!$B:$B,Sheet5!G:G,0)+_xlfn.XLOOKUP($A17,Sheet6!$B:$B,Sheet6!G:G,0)</f>
        <v>500</v>
      </c>
      <c r="AE17" s="6">
        <f>_xlfn.XLOOKUP($A17,Sheet7!$B:$B,Sheet7!G:G,0)+_xlfn.XLOOKUP($A17,Sheet8!$B:$B,Sheet8!G:G,0)</f>
        <v>410</v>
      </c>
      <c r="AF17" s="6" cm="1">
        <f t="array" ref="AF17">SUM(IFERROR(AB17:AE17,0))</f>
        <v>1640</v>
      </c>
      <c r="AG17" s="6">
        <f t="shared" si="0"/>
        <v>14</v>
      </c>
    </row>
    <row r="18" spans="1:33" ht="15.6" x14ac:dyDescent="0.3">
      <c r="A18" s="6" t="s">
        <v>46</v>
      </c>
      <c r="B18" s="6" t="str">
        <f>_xlfn.XLOOKUP($A18,Sheet3!$B:$B,Sheet3!D:D)</f>
        <v>长郡中学</v>
      </c>
      <c r="C18" s="7" t="str">
        <f>_xlfn.XLOOKUP($A18,Sheet3!$B:$B,Sheet3!E:E)</f>
        <v>程楷轩</v>
      </c>
      <c r="D18" s="6">
        <f>_xlfn.XLOOKUP($A18,Sheet1!$B:$B,Sheet1!H:H)</f>
        <v>100</v>
      </c>
      <c r="E18" s="6">
        <f>_xlfn.XLOOKUP($A18,Sheet1!$B:$B,Sheet1!I:I)</f>
        <v>100</v>
      </c>
      <c r="F18" s="6">
        <f>_xlfn.XLOOKUP($A18,Sheet1!$B:$B,Sheet1!J:J)</f>
        <v>7</v>
      </c>
      <c r="G18" s="6">
        <f>_xlfn.XLOOKUP($A18,Sheet2!$B:$B,Sheet2!H:H)</f>
        <v>100</v>
      </c>
      <c r="H18" s="6">
        <f>_xlfn.XLOOKUP($A18,Sheet2!$B:$B,Sheet2!I:I)</f>
        <v>56</v>
      </c>
      <c r="I18" s="7">
        <f>_xlfn.XLOOKUP($A18,Sheet2!$B:$B,Sheet2!J:J)</f>
        <v>34</v>
      </c>
      <c r="J18" s="8">
        <f>_xlfn.XLOOKUP($A18,Sheet3!$B:$B,Sheet3!H:H)</f>
        <v>100</v>
      </c>
      <c r="K18" s="8">
        <f>_xlfn.XLOOKUP($A18,Sheet3!$B:$B,Sheet3!I:I)</f>
        <v>100</v>
      </c>
      <c r="L18" s="8">
        <f>_xlfn.XLOOKUP($A18,Sheet3!$B:$B,Sheet3!J:J)</f>
        <v>50</v>
      </c>
      <c r="M18" s="8">
        <f>_xlfn.XLOOKUP($A18,Sheet4!$B:$B,Sheet4!H:H)</f>
        <v>100</v>
      </c>
      <c r="N18" s="8">
        <f>_xlfn.XLOOKUP($A18,Sheet4!$B:$B,Sheet4!I:I)</f>
        <v>10</v>
      </c>
      <c r="O18" s="9">
        <f>_xlfn.XLOOKUP($A18,Sheet4!$B:$B,Sheet4!J:J)</f>
        <v>100</v>
      </c>
      <c r="P18" s="8">
        <f>_xlfn.XLOOKUP($A18,Sheet5!$B:$B,Sheet5!H:H)</f>
        <v>100</v>
      </c>
      <c r="Q18" s="8">
        <f>_xlfn.XLOOKUP($A18,Sheet5!$B:$B,Sheet5!I:I)</f>
        <v>100</v>
      </c>
      <c r="R18" s="8">
        <f>_xlfn.XLOOKUP($A18,Sheet5!$B:$B,Sheet5!J:J)</f>
        <v>30</v>
      </c>
      <c r="S18" s="8">
        <f>_xlfn.XLOOKUP($A18,Sheet6!$B:$B,Sheet6!H:H)</f>
        <v>100</v>
      </c>
      <c r="T18" s="8">
        <f>_xlfn.XLOOKUP($A18,Sheet6!$B:$B,Sheet6!I:I)</f>
        <v>100</v>
      </c>
      <c r="U18" s="9">
        <f>_xlfn.XLOOKUP($A18,Sheet6!$B:$B,Sheet6!J:J)</f>
        <v>0</v>
      </c>
      <c r="V18" s="8">
        <f>_xlfn.XLOOKUP($A18,Sheet7!$B:$B,Sheet7!H:H)</f>
        <v>100</v>
      </c>
      <c r="W18" s="8">
        <f>_xlfn.XLOOKUP($A18,Sheet7!$B:$B,Sheet7!I:I)</f>
        <v>60</v>
      </c>
      <c r="X18" s="8">
        <f>_xlfn.XLOOKUP($A18,Sheet7!$B:$B,Sheet7!J:J)</f>
        <v>42</v>
      </c>
      <c r="Y18" s="8">
        <f>_xlfn.XLOOKUP($A18,Sheet8!$B:$B,Sheet8!H:H)</f>
        <v>100</v>
      </c>
      <c r="Z18" s="8">
        <f>_xlfn.XLOOKUP($A18,Sheet8!$B:$B,Sheet8!I:I)</f>
        <v>0</v>
      </c>
      <c r="AA18" s="9">
        <f>_xlfn.XLOOKUP($A18,Sheet8!$B:$B,Sheet8!J:J)</f>
        <v>0</v>
      </c>
      <c r="AB18" s="6">
        <f>_xlfn.XLOOKUP($A18,Sheet1!$B:$B,Sheet1!G:G,0)+_xlfn.XLOOKUP($A18,Sheet2!$B:$B,Sheet2!G:G,0)</f>
        <v>397</v>
      </c>
      <c r="AC18" s="6">
        <f>_xlfn.XLOOKUP($A18,Sheet3!$B:$B,Sheet3!G:G,0)+_xlfn.XLOOKUP($A18,Sheet4!$B:$B,Sheet4!G:G,0)</f>
        <v>460</v>
      </c>
      <c r="AD18" s="6">
        <f>_xlfn.XLOOKUP($A18,Sheet5!$B:$B,Sheet5!G:G,0)+_xlfn.XLOOKUP($A18,Sheet6!$B:$B,Sheet6!G:G,0)</f>
        <v>430</v>
      </c>
      <c r="AE18" s="6">
        <f>_xlfn.XLOOKUP($A18,Sheet7!$B:$B,Sheet7!G:G,0)+_xlfn.XLOOKUP($A18,Sheet8!$B:$B,Sheet8!G:G,0)</f>
        <v>302</v>
      </c>
      <c r="AF18" s="6" cm="1">
        <f t="array" ref="AF18">SUM(IFERROR(AB18:AE18,0))</f>
        <v>1589</v>
      </c>
      <c r="AG18" s="6">
        <f t="shared" si="0"/>
        <v>15</v>
      </c>
    </row>
    <row r="19" spans="1:33" ht="15.6" x14ac:dyDescent="0.3">
      <c r="A19" s="6" t="s">
        <v>98</v>
      </c>
      <c r="B19" s="6" t="str">
        <f>_xlfn.XLOOKUP($A19,Sheet3!$B:$B,Sheet3!D:D)</f>
        <v>上海市曹杨第二中学</v>
      </c>
      <c r="C19" s="7" t="str">
        <f>_xlfn.XLOOKUP($A19,Sheet3!$B:$B,Sheet3!E:E)</f>
        <v>王翊临</v>
      </c>
      <c r="D19" s="6">
        <f>_xlfn.XLOOKUP($A19,Sheet1!$B:$B,Sheet1!H:H)</f>
        <v>100</v>
      </c>
      <c r="E19" s="6">
        <f>_xlfn.XLOOKUP($A19,Sheet1!$B:$B,Sheet1!I:I)</f>
        <v>42</v>
      </c>
      <c r="F19" s="6">
        <f>_xlfn.XLOOKUP($A19,Sheet1!$B:$B,Sheet1!J:J)</f>
        <v>18</v>
      </c>
      <c r="G19" s="6">
        <f>_xlfn.XLOOKUP($A19,Sheet2!$B:$B,Sheet2!H:H)</f>
        <v>100</v>
      </c>
      <c r="H19" s="6">
        <f>_xlfn.XLOOKUP($A19,Sheet2!$B:$B,Sheet2!I:I)</f>
        <v>76</v>
      </c>
      <c r="I19" s="7">
        <f>_xlfn.XLOOKUP($A19,Sheet2!$B:$B,Sheet2!J:J)</f>
        <v>25</v>
      </c>
      <c r="J19" s="8">
        <f>_xlfn.XLOOKUP($A19,Sheet3!$B:$B,Sheet3!H:H)</f>
        <v>100</v>
      </c>
      <c r="K19" s="8">
        <f>_xlfn.XLOOKUP($A19,Sheet3!$B:$B,Sheet3!I:I)</f>
        <v>100</v>
      </c>
      <c r="L19" s="8">
        <f>_xlfn.XLOOKUP($A19,Sheet3!$B:$B,Sheet3!J:J)</f>
        <v>20</v>
      </c>
      <c r="M19" s="8">
        <f>_xlfn.XLOOKUP($A19,Sheet4!$B:$B,Sheet4!H:H)</f>
        <v>100</v>
      </c>
      <c r="N19" s="8">
        <f>_xlfn.XLOOKUP($A19,Sheet4!$B:$B,Sheet4!I:I)</f>
        <v>100</v>
      </c>
      <c r="O19" s="9">
        <f>_xlfn.XLOOKUP($A19,Sheet4!$B:$B,Sheet4!J:J)</f>
        <v>22</v>
      </c>
      <c r="P19" s="8">
        <f>_xlfn.XLOOKUP($A19,Sheet5!$B:$B,Sheet5!H:H)</f>
        <v>100</v>
      </c>
      <c r="Q19" s="8">
        <f>_xlfn.XLOOKUP($A19,Sheet5!$B:$B,Sheet5!I:I)</f>
        <v>32</v>
      </c>
      <c r="R19" s="8">
        <f>_xlfn.XLOOKUP($A19,Sheet5!$B:$B,Sheet5!J:J)</f>
        <v>100</v>
      </c>
      <c r="S19" s="8">
        <f>_xlfn.XLOOKUP($A19,Sheet6!$B:$B,Sheet6!H:H)</f>
        <v>100</v>
      </c>
      <c r="T19" s="8">
        <f>_xlfn.XLOOKUP($A19,Sheet6!$B:$B,Sheet6!I:I)</f>
        <v>100</v>
      </c>
      <c r="U19" s="9">
        <f>_xlfn.XLOOKUP($A19,Sheet6!$B:$B,Sheet6!J:J)</f>
        <v>0</v>
      </c>
      <c r="V19" s="8">
        <f>_xlfn.XLOOKUP($A19,Sheet7!$B:$B,Sheet7!H:H)</f>
        <v>100</v>
      </c>
      <c r="W19" s="8">
        <f>_xlfn.XLOOKUP($A19,Sheet7!$B:$B,Sheet7!I:I)</f>
        <v>70</v>
      </c>
      <c r="X19" s="8">
        <f>_xlfn.XLOOKUP($A19,Sheet7!$B:$B,Sheet7!J:J)</f>
        <v>75</v>
      </c>
      <c r="Y19" s="8">
        <f>_xlfn.XLOOKUP($A19,Sheet8!$B:$B,Sheet8!H:H)</f>
        <v>100</v>
      </c>
      <c r="Z19" s="8">
        <f>_xlfn.XLOOKUP($A19,Sheet8!$B:$B,Sheet8!I:I)</f>
        <v>0</v>
      </c>
      <c r="AA19" s="9">
        <f>_xlfn.XLOOKUP($A19,Sheet8!$B:$B,Sheet8!J:J)</f>
        <v>0</v>
      </c>
      <c r="AB19" s="6">
        <f>_xlfn.XLOOKUP($A19,Sheet1!$B:$B,Sheet1!G:G,0)+_xlfn.XLOOKUP($A19,Sheet2!$B:$B,Sheet2!G:G,0)</f>
        <v>361</v>
      </c>
      <c r="AC19" s="6">
        <f>_xlfn.XLOOKUP($A19,Sheet3!$B:$B,Sheet3!G:G,0)+_xlfn.XLOOKUP($A19,Sheet4!$B:$B,Sheet4!G:G,0)</f>
        <v>442</v>
      </c>
      <c r="AD19" s="6">
        <f>_xlfn.XLOOKUP($A19,Sheet5!$B:$B,Sheet5!G:G,0)+_xlfn.XLOOKUP($A19,Sheet6!$B:$B,Sheet6!G:G,0)</f>
        <v>432</v>
      </c>
      <c r="AE19" s="6">
        <f>_xlfn.XLOOKUP($A19,Sheet7!$B:$B,Sheet7!G:G,0)+_xlfn.XLOOKUP($A19,Sheet8!$B:$B,Sheet8!G:G,0)</f>
        <v>345</v>
      </c>
      <c r="AF19" s="6" cm="1">
        <f t="array" ref="AF19">SUM(IFERROR(AB19:AE19,0))</f>
        <v>1580</v>
      </c>
      <c r="AG19" s="6">
        <f t="shared" si="0"/>
        <v>16</v>
      </c>
    </row>
    <row r="20" spans="1:33" ht="15.6" x14ac:dyDescent="0.3">
      <c r="A20" s="6" t="s">
        <v>70</v>
      </c>
      <c r="B20" s="6" t="str">
        <f>_xlfn.XLOOKUP($A20,Sheet3!$B:$B,Sheet3!D:D)</f>
        <v>华南师范大学附属中学</v>
      </c>
      <c r="C20" s="7" t="str">
        <f>_xlfn.XLOOKUP($A20,Sheet3!$B:$B,Sheet3!E:E)</f>
        <v>李承翰</v>
      </c>
      <c r="D20" s="6">
        <f>_xlfn.XLOOKUP($A20,Sheet1!$B:$B,Sheet1!H:H)</f>
        <v>100</v>
      </c>
      <c r="E20" s="6">
        <f>_xlfn.XLOOKUP($A20,Sheet1!$B:$B,Sheet1!I:I)</f>
        <v>66</v>
      </c>
      <c r="F20" s="6">
        <f>_xlfn.XLOOKUP($A20,Sheet1!$B:$B,Sheet1!J:J)</f>
        <v>25</v>
      </c>
      <c r="G20" s="6">
        <f>_xlfn.XLOOKUP($A20,Sheet2!$B:$B,Sheet2!H:H)</f>
        <v>100</v>
      </c>
      <c r="H20" s="6">
        <f>_xlfn.XLOOKUP($A20,Sheet2!$B:$B,Sheet2!I:I)</f>
        <v>0</v>
      </c>
      <c r="I20" s="7">
        <f>_xlfn.XLOOKUP($A20,Sheet2!$B:$B,Sheet2!J:J)</f>
        <v>12</v>
      </c>
      <c r="J20" s="8">
        <f>_xlfn.XLOOKUP($A20,Sheet3!$B:$B,Sheet3!H:H)</f>
        <v>100</v>
      </c>
      <c r="K20" s="8">
        <f>_xlfn.XLOOKUP($A20,Sheet3!$B:$B,Sheet3!I:I)</f>
        <v>100</v>
      </c>
      <c r="L20" s="8">
        <f>_xlfn.XLOOKUP($A20,Sheet3!$B:$B,Sheet3!J:J)</f>
        <v>40</v>
      </c>
      <c r="M20" s="8">
        <f>_xlfn.XLOOKUP($A20,Sheet4!$B:$B,Sheet4!H:H)</f>
        <v>100</v>
      </c>
      <c r="N20" s="8">
        <f>_xlfn.XLOOKUP($A20,Sheet4!$B:$B,Sheet4!I:I)</f>
        <v>100</v>
      </c>
      <c r="O20" s="9">
        <f>_xlfn.XLOOKUP($A20,Sheet4!$B:$B,Sheet4!J:J)</f>
        <v>12</v>
      </c>
      <c r="P20" s="8">
        <f>_xlfn.XLOOKUP($A20,Sheet5!$B:$B,Sheet5!H:H)</f>
        <v>100</v>
      </c>
      <c r="Q20" s="8">
        <f>_xlfn.XLOOKUP($A20,Sheet5!$B:$B,Sheet5!I:I)</f>
        <v>48</v>
      </c>
      <c r="R20" s="8">
        <f>_xlfn.XLOOKUP($A20,Sheet5!$B:$B,Sheet5!J:J)</f>
        <v>30</v>
      </c>
      <c r="S20" s="8">
        <f>_xlfn.XLOOKUP($A20,Sheet6!$B:$B,Sheet6!H:H)</f>
        <v>100</v>
      </c>
      <c r="T20" s="8">
        <f>_xlfn.XLOOKUP($A20,Sheet6!$B:$B,Sheet6!I:I)</f>
        <v>100</v>
      </c>
      <c r="U20" s="9">
        <f>_xlfn.XLOOKUP($A20,Sheet6!$B:$B,Sheet6!J:J)</f>
        <v>100</v>
      </c>
      <c r="V20" s="8">
        <f>_xlfn.XLOOKUP($A20,Sheet7!$B:$B,Sheet7!H:H)</f>
        <v>100</v>
      </c>
      <c r="W20" s="8">
        <f>_xlfn.XLOOKUP($A20,Sheet7!$B:$B,Sheet7!I:I)</f>
        <v>100</v>
      </c>
      <c r="X20" s="8">
        <f>_xlfn.XLOOKUP($A20,Sheet7!$B:$B,Sheet7!J:J)</f>
        <v>0</v>
      </c>
      <c r="Y20" s="8">
        <f>_xlfn.XLOOKUP($A20,Sheet8!$B:$B,Sheet8!H:H)</f>
        <v>100</v>
      </c>
      <c r="Z20" s="8">
        <f>_xlfn.XLOOKUP($A20,Sheet8!$B:$B,Sheet8!I:I)</f>
        <v>25</v>
      </c>
      <c r="AA20" s="9">
        <f>_xlfn.XLOOKUP($A20,Sheet8!$B:$B,Sheet8!J:J)</f>
        <v>10</v>
      </c>
      <c r="AB20" s="6">
        <f>_xlfn.XLOOKUP($A20,Sheet1!$B:$B,Sheet1!G:G,0)+_xlfn.XLOOKUP($A20,Sheet2!$B:$B,Sheet2!G:G,0)</f>
        <v>303</v>
      </c>
      <c r="AC20" s="6">
        <f>_xlfn.XLOOKUP($A20,Sheet3!$B:$B,Sheet3!G:G,0)+_xlfn.XLOOKUP($A20,Sheet4!$B:$B,Sheet4!G:G,0)</f>
        <v>452</v>
      </c>
      <c r="AD20" s="6">
        <f>_xlfn.XLOOKUP($A20,Sheet5!$B:$B,Sheet5!G:G,0)+_xlfn.XLOOKUP($A20,Sheet6!$B:$B,Sheet6!G:G,0)</f>
        <v>478</v>
      </c>
      <c r="AE20" s="6">
        <f>_xlfn.XLOOKUP($A20,Sheet7!$B:$B,Sheet7!G:G,0)+_xlfn.XLOOKUP($A20,Sheet8!$B:$B,Sheet8!G:G,0)</f>
        <v>335</v>
      </c>
      <c r="AF20" s="6" cm="1">
        <f t="array" ref="AF20">SUM(IFERROR(AB20:AE20,0))</f>
        <v>1568</v>
      </c>
      <c r="AG20" s="6">
        <f t="shared" si="0"/>
        <v>17</v>
      </c>
    </row>
    <row r="21" spans="1:33" ht="15.6" x14ac:dyDescent="0.3">
      <c r="A21" s="6" t="s">
        <v>260</v>
      </c>
      <c r="B21" s="6" t="str">
        <f>_xlfn.XLOOKUP($A21,Sheet3!$B:$B,Sheet3!D:D)</f>
        <v>北京市十一学校</v>
      </c>
      <c r="C21" s="7" t="str">
        <f>_xlfn.XLOOKUP($A21,Sheet3!$B:$B,Sheet3!E:E)</f>
        <v>方铨铎</v>
      </c>
      <c r="D21" s="6">
        <f>_xlfn.XLOOKUP($A21,Sheet1!$B:$B,Sheet1!H:H)</f>
        <v>100</v>
      </c>
      <c r="E21" s="6">
        <f>_xlfn.XLOOKUP($A21,Sheet1!$B:$B,Sheet1!I:I)</f>
        <v>0</v>
      </c>
      <c r="F21" s="6">
        <f>_xlfn.XLOOKUP($A21,Sheet1!$B:$B,Sheet1!J:J)</f>
        <v>0</v>
      </c>
      <c r="G21" s="6">
        <f>_xlfn.XLOOKUP($A21,Sheet2!$B:$B,Sheet2!H:H)</f>
        <v>100</v>
      </c>
      <c r="H21" s="6">
        <f>_xlfn.XLOOKUP($A21,Sheet2!$B:$B,Sheet2!I:I)</f>
        <v>56</v>
      </c>
      <c r="I21" s="7">
        <f>_xlfn.XLOOKUP($A21,Sheet2!$B:$B,Sheet2!J:J)</f>
        <v>12</v>
      </c>
      <c r="J21" s="8">
        <f>_xlfn.XLOOKUP($A21,Sheet3!$B:$B,Sheet3!H:H)</f>
        <v>84</v>
      </c>
      <c r="K21" s="8">
        <f>_xlfn.XLOOKUP($A21,Sheet3!$B:$B,Sheet3!I:I)</f>
        <v>100</v>
      </c>
      <c r="L21" s="8">
        <f>_xlfn.XLOOKUP($A21,Sheet3!$B:$B,Sheet3!J:J)</f>
        <v>40</v>
      </c>
      <c r="M21" s="8">
        <f>_xlfn.XLOOKUP($A21,Sheet4!$B:$B,Sheet4!H:H)</f>
        <v>100</v>
      </c>
      <c r="N21" s="8">
        <f>_xlfn.XLOOKUP($A21,Sheet4!$B:$B,Sheet4!I:I)</f>
        <v>100</v>
      </c>
      <c r="O21" s="9">
        <f>_xlfn.XLOOKUP($A21,Sheet4!$B:$B,Sheet4!J:J)</f>
        <v>12</v>
      </c>
      <c r="P21" s="8">
        <f>_xlfn.XLOOKUP($A21,Sheet5!$B:$B,Sheet5!H:H)</f>
        <v>100</v>
      </c>
      <c r="Q21" s="8">
        <f>_xlfn.XLOOKUP($A21,Sheet5!$B:$B,Sheet5!I:I)</f>
        <v>12</v>
      </c>
      <c r="R21" s="8">
        <f>_xlfn.XLOOKUP($A21,Sheet5!$B:$B,Sheet5!J:J)</f>
        <v>100</v>
      </c>
      <c r="S21" s="8">
        <f>_xlfn.XLOOKUP($A21,Sheet6!$B:$B,Sheet6!H:H)</f>
        <v>100</v>
      </c>
      <c r="T21" s="8">
        <f>_xlfn.XLOOKUP($A21,Sheet6!$B:$B,Sheet6!I:I)</f>
        <v>100</v>
      </c>
      <c r="U21" s="9">
        <f>_xlfn.XLOOKUP($A21,Sheet6!$B:$B,Sheet6!J:J)</f>
        <v>100</v>
      </c>
      <c r="V21" s="8">
        <f>_xlfn.XLOOKUP($A21,Sheet7!$B:$B,Sheet7!H:H)</f>
        <v>100</v>
      </c>
      <c r="W21" s="8">
        <f>_xlfn.XLOOKUP($A21,Sheet7!$B:$B,Sheet7!I:I)</f>
        <v>100</v>
      </c>
      <c r="X21" s="8">
        <f>_xlfn.XLOOKUP($A21,Sheet7!$B:$B,Sheet7!J:J)</f>
        <v>42</v>
      </c>
      <c r="Y21" s="8">
        <f>_xlfn.XLOOKUP($A21,Sheet8!$B:$B,Sheet8!H:H)</f>
        <v>100</v>
      </c>
      <c r="Z21" s="8">
        <f>_xlfn.XLOOKUP($A21,Sheet8!$B:$B,Sheet8!I:I)</f>
        <v>0</v>
      </c>
      <c r="AA21" s="9">
        <f>_xlfn.XLOOKUP($A21,Sheet8!$B:$B,Sheet8!J:J)</f>
        <v>0</v>
      </c>
      <c r="AB21" s="6">
        <f>_xlfn.XLOOKUP($A21,Sheet1!$B:$B,Sheet1!G:G,0)+_xlfn.XLOOKUP($A21,Sheet2!$B:$B,Sheet2!G:G,0)</f>
        <v>268</v>
      </c>
      <c r="AC21" s="6">
        <f>_xlfn.XLOOKUP($A21,Sheet3!$B:$B,Sheet3!G:G,0)+_xlfn.XLOOKUP($A21,Sheet4!$B:$B,Sheet4!G:G,0)</f>
        <v>436</v>
      </c>
      <c r="AD21" s="6">
        <f>_xlfn.XLOOKUP($A21,Sheet5!$B:$B,Sheet5!G:G,0)+_xlfn.XLOOKUP($A21,Sheet6!$B:$B,Sheet6!G:G,0)</f>
        <v>512</v>
      </c>
      <c r="AE21" s="6">
        <f>_xlfn.XLOOKUP($A21,Sheet7!$B:$B,Sheet7!G:G,0)+_xlfn.XLOOKUP($A21,Sheet8!$B:$B,Sheet8!G:G,0)</f>
        <v>342</v>
      </c>
      <c r="AF21" s="6" cm="1">
        <f t="array" ref="AF21">SUM(IFERROR(AB21:AE21,0))</f>
        <v>1558</v>
      </c>
      <c r="AG21" s="6">
        <f t="shared" si="0"/>
        <v>18</v>
      </c>
    </row>
    <row r="22" spans="1:33" ht="15.6" x14ac:dyDescent="0.3">
      <c r="A22" s="6" t="s">
        <v>228</v>
      </c>
      <c r="B22" s="6" t="str">
        <f>_xlfn.XLOOKUP($A22,Sheet3!$B:$B,Sheet3!D:D)</f>
        <v>成都市锦江区嘉祥外国语高级中学</v>
      </c>
      <c r="C22" s="7" t="str">
        <f>_xlfn.XLOOKUP($A22,Sheet3!$B:$B,Sheet3!E:E)</f>
        <v>王译萱</v>
      </c>
      <c r="D22" s="6">
        <f>_xlfn.XLOOKUP($A22,Sheet1!$B:$B,Sheet1!H:H)</f>
        <v>100</v>
      </c>
      <c r="E22" s="6">
        <f>_xlfn.XLOOKUP($A22,Sheet1!$B:$B,Sheet1!I:I)</f>
        <v>0</v>
      </c>
      <c r="F22" s="6">
        <f>_xlfn.XLOOKUP($A22,Sheet1!$B:$B,Sheet1!J:J)</f>
        <v>7</v>
      </c>
      <c r="G22" s="6">
        <f>_xlfn.XLOOKUP($A22,Sheet2!$B:$B,Sheet2!H:H)</f>
        <v>100</v>
      </c>
      <c r="H22" s="6">
        <f>_xlfn.XLOOKUP($A22,Sheet2!$B:$B,Sheet2!I:I)</f>
        <v>32</v>
      </c>
      <c r="I22" s="7">
        <f>_xlfn.XLOOKUP($A22,Sheet2!$B:$B,Sheet2!J:J)</f>
        <v>25</v>
      </c>
      <c r="J22" s="8">
        <f>_xlfn.XLOOKUP($A22,Sheet3!$B:$B,Sheet3!H:H)</f>
        <v>100</v>
      </c>
      <c r="K22" s="8">
        <f>_xlfn.XLOOKUP($A22,Sheet3!$B:$B,Sheet3!I:I)</f>
        <v>100</v>
      </c>
      <c r="L22" s="8">
        <f>_xlfn.XLOOKUP($A22,Sheet3!$B:$B,Sheet3!J:J)</f>
        <v>50</v>
      </c>
      <c r="M22" s="8">
        <f>_xlfn.XLOOKUP($A22,Sheet4!$B:$B,Sheet4!H:H)</f>
        <v>100</v>
      </c>
      <c r="N22" s="8">
        <f>_xlfn.XLOOKUP($A22,Sheet4!$B:$B,Sheet4!I:I)</f>
        <v>75</v>
      </c>
      <c r="O22" s="9">
        <f>_xlfn.XLOOKUP($A22,Sheet4!$B:$B,Sheet4!J:J)</f>
        <v>22</v>
      </c>
      <c r="P22" s="8">
        <f>_xlfn.XLOOKUP($A22,Sheet5!$B:$B,Sheet5!H:H)</f>
        <v>100</v>
      </c>
      <c r="Q22" s="8">
        <f>_xlfn.XLOOKUP($A22,Sheet5!$B:$B,Sheet5!I:I)</f>
        <v>56</v>
      </c>
      <c r="R22" s="8">
        <f>_xlfn.XLOOKUP($A22,Sheet5!$B:$B,Sheet5!J:J)</f>
        <v>30</v>
      </c>
      <c r="S22" s="8">
        <f>_xlfn.XLOOKUP($A22,Sheet6!$B:$B,Sheet6!H:H)</f>
        <v>100</v>
      </c>
      <c r="T22" s="8">
        <f>_xlfn.XLOOKUP($A22,Sheet6!$B:$B,Sheet6!I:I)</f>
        <v>100</v>
      </c>
      <c r="U22" s="9">
        <f>_xlfn.XLOOKUP($A22,Sheet6!$B:$B,Sheet6!J:J)</f>
        <v>88</v>
      </c>
      <c r="V22" s="8">
        <f>_xlfn.XLOOKUP($A22,Sheet7!$B:$B,Sheet7!H:H)</f>
        <v>100</v>
      </c>
      <c r="W22" s="8">
        <f>_xlfn.XLOOKUP($A22,Sheet7!$B:$B,Sheet7!I:I)</f>
        <v>90</v>
      </c>
      <c r="X22" s="8">
        <f>_xlfn.XLOOKUP($A22,Sheet7!$B:$B,Sheet7!J:J)</f>
        <v>42</v>
      </c>
      <c r="Y22" s="8">
        <f>_xlfn.XLOOKUP($A22,Sheet8!$B:$B,Sheet8!H:H)</f>
        <v>100</v>
      </c>
      <c r="Z22" s="8">
        <f>_xlfn.XLOOKUP($A22,Sheet8!$B:$B,Sheet8!I:I)</f>
        <v>0</v>
      </c>
      <c r="AA22" s="9">
        <f>_xlfn.XLOOKUP($A22,Sheet8!$B:$B,Sheet8!J:J)</f>
        <v>25</v>
      </c>
      <c r="AB22" s="6">
        <f>_xlfn.XLOOKUP($A22,Sheet1!$B:$B,Sheet1!G:G,0)+_xlfn.XLOOKUP($A22,Sheet2!$B:$B,Sheet2!G:G,0)</f>
        <v>264</v>
      </c>
      <c r="AC22" s="6">
        <f>_xlfn.XLOOKUP($A22,Sheet3!$B:$B,Sheet3!G:G,0)+_xlfn.XLOOKUP($A22,Sheet4!$B:$B,Sheet4!G:G,0)</f>
        <v>447</v>
      </c>
      <c r="AD22" s="6">
        <f>_xlfn.XLOOKUP($A22,Sheet5!$B:$B,Sheet5!G:G,0)+_xlfn.XLOOKUP($A22,Sheet6!$B:$B,Sheet6!G:G,0)</f>
        <v>474</v>
      </c>
      <c r="AE22" s="6">
        <f>_xlfn.XLOOKUP($A22,Sheet7!$B:$B,Sheet7!G:G,0)+_xlfn.XLOOKUP($A22,Sheet8!$B:$B,Sheet8!G:G,0)</f>
        <v>357</v>
      </c>
      <c r="AF22" s="6" cm="1">
        <f t="array" ref="AF22">SUM(IFERROR(AB22:AE22,0))</f>
        <v>1542</v>
      </c>
      <c r="AG22" s="6">
        <f t="shared" si="0"/>
        <v>19</v>
      </c>
    </row>
    <row r="23" spans="1:33" ht="15.6" x14ac:dyDescent="0.3">
      <c r="A23" s="6" t="s">
        <v>22</v>
      </c>
      <c r="B23" s="6" t="str">
        <f>_xlfn.XLOOKUP($A23,Sheet3!$B:$B,Sheet3!D:D)</f>
        <v>重庆市巴蜀中学校</v>
      </c>
      <c r="C23" s="7" t="str">
        <f>_xlfn.XLOOKUP($A23,Sheet3!$B:$B,Sheet3!E:E)</f>
        <v>李知检</v>
      </c>
      <c r="D23" s="6">
        <f>_xlfn.XLOOKUP($A23,Sheet1!$B:$B,Sheet1!H:H)</f>
        <v>100</v>
      </c>
      <c r="E23" s="6">
        <f>_xlfn.XLOOKUP($A23,Sheet1!$B:$B,Sheet1!I:I)</f>
        <v>100</v>
      </c>
      <c r="F23" s="6">
        <f>_xlfn.XLOOKUP($A23,Sheet1!$B:$B,Sheet1!J:J)</f>
        <v>25</v>
      </c>
      <c r="G23" s="6">
        <f>_xlfn.XLOOKUP($A23,Sheet2!$B:$B,Sheet2!H:H)</f>
        <v>100</v>
      </c>
      <c r="H23" s="6">
        <f>_xlfn.XLOOKUP($A23,Sheet2!$B:$B,Sheet2!I:I)</f>
        <v>56</v>
      </c>
      <c r="I23" s="7">
        <f>_xlfn.XLOOKUP($A23,Sheet2!$B:$B,Sheet2!J:J)</f>
        <v>34</v>
      </c>
      <c r="J23" s="8">
        <f>_xlfn.XLOOKUP($A23,Sheet3!$B:$B,Sheet3!H:H)</f>
        <v>100</v>
      </c>
      <c r="K23" s="8">
        <f>_xlfn.XLOOKUP($A23,Sheet3!$B:$B,Sheet3!I:I)</f>
        <v>40</v>
      </c>
      <c r="L23" s="8">
        <f>_xlfn.XLOOKUP($A23,Sheet3!$B:$B,Sheet3!J:J)</f>
        <v>10</v>
      </c>
      <c r="M23" s="8">
        <f>_xlfn.XLOOKUP($A23,Sheet4!$B:$B,Sheet4!H:H)</f>
        <v>100</v>
      </c>
      <c r="N23" s="8">
        <f>_xlfn.XLOOKUP($A23,Sheet4!$B:$B,Sheet4!I:I)</f>
        <v>0</v>
      </c>
      <c r="O23" s="9">
        <f>_xlfn.XLOOKUP($A23,Sheet4!$B:$B,Sheet4!J:J)</f>
        <v>22</v>
      </c>
      <c r="P23" s="8">
        <f>_xlfn.XLOOKUP($A23,Sheet5!$B:$B,Sheet5!H:H)</f>
        <v>100</v>
      </c>
      <c r="Q23" s="8">
        <f>_xlfn.XLOOKUP($A23,Sheet5!$B:$B,Sheet5!I:I)</f>
        <v>48</v>
      </c>
      <c r="R23" s="8">
        <f>_xlfn.XLOOKUP($A23,Sheet5!$B:$B,Sheet5!J:J)</f>
        <v>10</v>
      </c>
      <c r="S23" s="8">
        <f>_xlfn.XLOOKUP($A23,Sheet6!$B:$B,Sheet6!H:H)</f>
        <v>100</v>
      </c>
      <c r="T23" s="8">
        <f>_xlfn.XLOOKUP($A23,Sheet6!$B:$B,Sheet6!I:I)</f>
        <v>100</v>
      </c>
      <c r="U23" s="9">
        <f>_xlfn.XLOOKUP($A23,Sheet6!$B:$B,Sheet6!J:J)</f>
        <v>100</v>
      </c>
      <c r="V23" s="8">
        <f>_xlfn.XLOOKUP($A23,Sheet7!$B:$B,Sheet7!H:H)</f>
        <v>100</v>
      </c>
      <c r="W23" s="8">
        <f>_xlfn.XLOOKUP($A23,Sheet7!$B:$B,Sheet7!I:I)</f>
        <v>90</v>
      </c>
      <c r="X23" s="8">
        <f>_xlfn.XLOOKUP($A23,Sheet7!$B:$B,Sheet7!J:J)</f>
        <v>42</v>
      </c>
      <c r="Y23" s="8">
        <f>_xlfn.XLOOKUP($A23,Sheet8!$B:$B,Sheet8!H:H)</f>
        <v>100</v>
      </c>
      <c r="Z23" s="8">
        <f>_xlfn.XLOOKUP($A23,Sheet8!$B:$B,Sheet8!I:I)</f>
        <v>0</v>
      </c>
      <c r="AA23" s="9">
        <f>_xlfn.XLOOKUP($A23,Sheet8!$B:$B,Sheet8!J:J)</f>
        <v>55</v>
      </c>
      <c r="AB23" s="6">
        <f>_xlfn.XLOOKUP($A23,Sheet1!$B:$B,Sheet1!G:G,0)+_xlfn.XLOOKUP($A23,Sheet2!$B:$B,Sheet2!G:G,0)</f>
        <v>415</v>
      </c>
      <c r="AC23" s="6">
        <f>_xlfn.XLOOKUP($A23,Sheet3!$B:$B,Sheet3!G:G,0)+_xlfn.XLOOKUP($A23,Sheet4!$B:$B,Sheet4!G:G,0)</f>
        <v>272</v>
      </c>
      <c r="AD23" s="6">
        <f>_xlfn.XLOOKUP($A23,Sheet5!$B:$B,Sheet5!G:G,0)+_xlfn.XLOOKUP($A23,Sheet6!$B:$B,Sheet6!G:G,0)</f>
        <v>458</v>
      </c>
      <c r="AE23" s="6">
        <f>_xlfn.XLOOKUP($A23,Sheet7!$B:$B,Sheet7!G:G,0)+_xlfn.XLOOKUP($A23,Sheet8!$B:$B,Sheet8!G:G,0)</f>
        <v>387</v>
      </c>
      <c r="AF23" s="6" cm="1">
        <f t="array" ref="AF23">SUM(IFERROR(AB23:AE23,0))</f>
        <v>1532</v>
      </c>
      <c r="AG23" s="6">
        <f t="shared" si="0"/>
        <v>20</v>
      </c>
    </row>
    <row r="24" spans="1:33" ht="15.6" x14ac:dyDescent="0.3">
      <c r="A24" s="6" t="s">
        <v>116</v>
      </c>
      <c r="B24" s="6" t="str">
        <f>_xlfn.XLOOKUP($A24,Sheet3!$B:$B,Sheet3!D:D)</f>
        <v>深圳市宝安中学（集团）高中部</v>
      </c>
      <c r="C24" s="7" t="str">
        <f>_xlfn.XLOOKUP($A24,Sheet3!$B:$B,Sheet3!E:E)</f>
        <v>蒋骏豪</v>
      </c>
      <c r="D24" s="6">
        <f>_xlfn.XLOOKUP($A24,Sheet1!$B:$B,Sheet1!H:H)</f>
        <v>100</v>
      </c>
      <c r="E24" s="6">
        <f>_xlfn.XLOOKUP($A24,Sheet1!$B:$B,Sheet1!I:I)</f>
        <v>42</v>
      </c>
      <c r="F24" s="6">
        <f>_xlfn.XLOOKUP($A24,Sheet1!$B:$B,Sheet1!J:J)</f>
        <v>7</v>
      </c>
      <c r="G24" s="6">
        <f>_xlfn.XLOOKUP($A24,Sheet2!$B:$B,Sheet2!H:H)</f>
        <v>100</v>
      </c>
      <c r="H24" s="6">
        <f>_xlfn.XLOOKUP($A24,Sheet2!$B:$B,Sheet2!I:I)</f>
        <v>56</v>
      </c>
      <c r="I24" s="7">
        <f>_xlfn.XLOOKUP($A24,Sheet2!$B:$B,Sheet2!J:J)</f>
        <v>12</v>
      </c>
      <c r="J24" s="8">
        <f>_xlfn.XLOOKUP($A24,Sheet3!$B:$B,Sheet3!H:H)</f>
        <v>100</v>
      </c>
      <c r="K24" s="8">
        <f>_xlfn.XLOOKUP($A24,Sheet3!$B:$B,Sheet3!I:I)</f>
        <v>100</v>
      </c>
      <c r="L24" s="8">
        <f>_xlfn.XLOOKUP($A24,Sheet3!$B:$B,Sheet3!J:J)</f>
        <v>10</v>
      </c>
      <c r="M24" s="8">
        <f>_xlfn.XLOOKUP($A24,Sheet4!$B:$B,Sheet4!H:H)</f>
        <v>100</v>
      </c>
      <c r="N24" s="8">
        <f>_xlfn.XLOOKUP($A24,Sheet4!$B:$B,Sheet4!I:I)</f>
        <v>100</v>
      </c>
      <c r="O24" s="9">
        <f>_xlfn.XLOOKUP($A24,Sheet4!$B:$B,Sheet4!J:J)</f>
        <v>22</v>
      </c>
      <c r="P24" s="8">
        <f>_xlfn.XLOOKUP($A24,Sheet5!$B:$B,Sheet5!H:H)</f>
        <v>100</v>
      </c>
      <c r="Q24" s="8">
        <f>_xlfn.XLOOKUP($A24,Sheet5!$B:$B,Sheet5!I:I)</f>
        <v>100</v>
      </c>
      <c r="R24" s="8">
        <f>_xlfn.XLOOKUP($A24,Sheet5!$B:$B,Sheet5!J:J)</f>
        <v>0</v>
      </c>
      <c r="S24" s="8">
        <f>_xlfn.XLOOKUP($A24,Sheet6!$B:$B,Sheet6!H:H)</f>
        <v>100</v>
      </c>
      <c r="T24" s="8">
        <f>_xlfn.XLOOKUP($A24,Sheet6!$B:$B,Sheet6!I:I)</f>
        <v>44</v>
      </c>
      <c r="U24" s="9">
        <f>_xlfn.XLOOKUP($A24,Sheet6!$B:$B,Sheet6!J:J)</f>
        <v>100</v>
      </c>
      <c r="V24" s="8">
        <f>_xlfn.XLOOKUP($A24,Sheet7!$B:$B,Sheet7!H:H)</f>
        <v>100</v>
      </c>
      <c r="W24" s="8">
        <f>_xlfn.XLOOKUP($A24,Sheet7!$B:$B,Sheet7!I:I)</f>
        <v>90</v>
      </c>
      <c r="X24" s="8">
        <f>_xlfn.XLOOKUP($A24,Sheet7!$B:$B,Sheet7!J:J)</f>
        <v>42</v>
      </c>
      <c r="Y24" s="8">
        <f>_xlfn.XLOOKUP($A24,Sheet8!$B:$B,Sheet8!H:H)</f>
        <v>100</v>
      </c>
      <c r="Z24" s="8">
        <f>_xlfn.XLOOKUP($A24,Sheet8!$B:$B,Sheet8!I:I)</f>
        <v>0</v>
      </c>
      <c r="AA24" s="9">
        <f>_xlfn.XLOOKUP($A24,Sheet8!$B:$B,Sheet8!J:J)</f>
        <v>0</v>
      </c>
      <c r="AB24" s="6">
        <f>_xlfn.XLOOKUP($A24,Sheet1!$B:$B,Sheet1!G:G,0)+_xlfn.XLOOKUP($A24,Sheet2!$B:$B,Sheet2!G:G,0)</f>
        <v>317</v>
      </c>
      <c r="AC24" s="6">
        <f>_xlfn.XLOOKUP($A24,Sheet3!$B:$B,Sheet3!G:G,0)+_xlfn.XLOOKUP($A24,Sheet4!$B:$B,Sheet4!G:G,0)</f>
        <v>432</v>
      </c>
      <c r="AD24" s="6">
        <f>_xlfn.XLOOKUP($A24,Sheet5!$B:$B,Sheet5!G:G,0)+_xlfn.XLOOKUP($A24,Sheet6!$B:$B,Sheet6!G:G,0)</f>
        <v>444</v>
      </c>
      <c r="AE24" s="6">
        <f>_xlfn.XLOOKUP($A24,Sheet7!$B:$B,Sheet7!G:G,0)+_xlfn.XLOOKUP($A24,Sheet8!$B:$B,Sheet8!G:G,0)</f>
        <v>332</v>
      </c>
      <c r="AF24" s="6" cm="1">
        <f t="array" ref="AF24">SUM(IFERROR(AB24:AE24,0))</f>
        <v>1525</v>
      </c>
      <c r="AG24" s="6">
        <f t="shared" si="0"/>
        <v>21</v>
      </c>
    </row>
    <row r="25" spans="1:33" ht="15.6" x14ac:dyDescent="0.3">
      <c r="A25" s="6" t="s">
        <v>163</v>
      </c>
      <c r="B25" s="6" t="str">
        <f>_xlfn.XLOOKUP($A25,Sheet3!$B:$B,Sheet3!D:D)</f>
        <v>深圳中学</v>
      </c>
      <c r="C25" s="7" t="str">
        <f>_xlfn.XLOOKUP($A25,Sheet3!$B:$B,Sheet3!E:E)</f>
        <v>李子优</v>
      </c>
      <c r="D25" s="6">
        <f>_xlfn.XLOOKUP($A25,Sheet1!$B:$B,Sheet1!H:H)</f>
        <v>100</v>
      </c>
      <c r="E25" s="6">
        <f>_xlfn.XLOOKUP($A25,Sheet1!$B:$B,Sheet1!I:I)</f>
        <v>27</v>
      </c>
      <c r="F25" s="6">
        <f>_xlfn.XLOOKUP($A25,Sheet1!$B:$B,Sheet1!J:J)</f>
        <v>0</v>
      </c>
      <c r="G25" s="6">
        <f>_xlfn.XLOOKUP($A25,Sheet2!$B:$B,Sheet2!H:H)</f>
        <v>100</v>
      </c>
      <c r="H25" s="6">
        <f>_xlfn.XLOOKUP($A25,Sheet2!$B:$B,Sheet2!I:I)</f>
        <v>76</v>
      </c>
      <c r="I25" s="7">
        <f>_xlfn.XLOOKUP($A25,Sheet2!$B:$B,Sheet2!J:J)</f>
        <v>21</v>
      </c>
      <c r="J25" s="8">
        <f>_xlfn.XLOOKUP($A25,Sheet3!$B:$B,Sheet3!H:H)</f>
        <v>100</v>
      </c>
      <c r="K25" s="8">
        <f>_xlfn.XLOOKUP($A25,Sheet3!$B:$B,Sheet3!I:I)</f>
        <v>100</v>
      </c>
      <c r="L25" s="8">
        <f>_xlfn.XLOOKUP($A25,Sheet3!$B:$B,Sheet3!J:J)</f>
        <v>50</v>
      </c>
      <c r="M25" s="8">
        <f>_xlfn.XLOOKUP($A25,Sheet4!$B:$B,Sheet4!H:H)</f>
        <v>100</v>
      </c>
      <c r="N25" s="8">
        <f>_xlfn.XLOOKUP($A25,Sheet4!$B:$B,Sheet4!I:I)</f>
        <v>10</v>
      </c>
      <c r="O25" s="9">
        <f>_xlfn.XLOOKUP($A25,Sheet4!$B:$B,Sheet4!J:J)</f>
        <v>22</v>
      </c>
      <c r="P25" s="8">
        <f>_xlfn.XLOOKUP($A25,Sheet5!$B:$B,Sheet5!H:H)</f>
        <v>100</v>
      </c>
      <c r="Q25" s="8">
        <f>_xlfn.XLOOKUP($A25,Sheet5!$B:$B,Sheet5!I:I)</f>
        <v>70</v>
      </c>
      <c r="R25" s="8">
        <f>_xlfn.XLOOKUP($A25,Sheet5!$B:$B,Sheet5!J:J)</f>
        <v>30</v>
      </c>
      <c r="S25" s="8">
        <f>_xlfn.XLOOKUP($A25,Sheet6!$B:$B,Sheet6!H:H)</f>
        <v>100</v>
      </c>
      <c r="T25" s="8">
        <f>_xlfn.XLOOKUP($A25,Sheet6!$B:$B,Sheet6!I:I)</f>
        <v>100</v>
      </c>
      <c r="U25" s="9">
        <f>_xlfn.XLOOKUP($A25,Sheet6!$B:$B,Sheet6!J:J)</f>
        <v>100</v>
      </c>
      <c r="V25" s="8">
        <f>_xlfn.XLOOKUP($A25,Sheet7!$B:$B,Sheet7!H:H)</f>
        <v>100</v>
      </c>
      <c r="W25" s="8">
        <f>_xlfn.XLOOKUP($A25,Sheet7!$B:$B,Sheet7!I:I)</f>
        <v>40</v>
      </c>
      <c r="X25" s="8">
        <f>_xlfn.XLOOKUP($A25,Sheet7!$B:$B,Sheet7!J:J)</f>
        <v>42</v>
      </c>
      <c r="Y25" s="8">
        <f>_xlfn.XLOOKUP($A25,Sheet8!$B:$B,Sheet8!H:H)</f>
        <v>100</v>
      </c>
      <c r="Z25" s="8">
        <f>_xlfn.XLOOKUP($A25,Sheet8!$B:$B,Sheet8!I:I)</f>
        <v>25</v>
      </c>
      <c r="AA25" s="9">
        <f>_xlfn.XLOOKUP($A25,Sheet8!$B:$B,Sheet8!J:J)</f>
        <v>10</v>
      </c>
      <c r="AB25" s="6">
        <f>_xlfn.XLOOKUP($A25,Sheet1!$B:$B,Sheet1!G:G,0)+_xlfn.XLOOKUP($A25,Sheet2!$B:$B,Sheet2!G:G,0)</f>
        <v>324</v>
      </c>
      <c r="AC25" s="6">
        <f>_xlfn.XLOOKUP($A25,Sheet3!$B:$B,Sheet3!G:G,0)+_xlfn.XLOOKUP($A25,Sheet4!$B:$B,Sheet4!G:G,0)</f>
        <v>382</v>
      </c>
      <c r="AD25" s="6">
        <f>_xlfn.XLOOKUP($A25,Sheet5!$B:$B,Sheet5!G:G,0)+_xlfn.XLOOKUP($A25,Sheet6!$B:$B,Sheet6!G:G,0)</f>
        <v>500</v>
      </c>
      <c r="AE25" s="6">
        <f>_xlfn.XLOOKUP($A25,Sheet7!$B:$B,Sheet7!G:G,0)+_xlfn.XLOOKUP($A25,Sheet8!$B:$B,Sheet8!G:G,0)</f>
        <v>317</v>
      </c>
      <c r="AF25" s="6" cm="1">
        <f t="array" ref="AF25">SUM(IFERROR(AB25:AE25,0))</f>
        <v>1523</v>
      </c>
      <c r="AG25" s="6">
        <f t="shared" si="0"/>
        <v>22</v>
      </c>
    </row>
    <row r="26" spans="1:33" ht="15.6" x14ac:dyDescent="0.3">
      <c r="A26" s="6" t="s">
        <v>160</v>
      </c>
      <c r="B26" s="6" t="str">
        <f>_xlfn.XLOOKUP($A26,Sheet3!$B:$B,Sheet3!D:D)</f>
        <v>浙江省诸暨市海亮高级中学</v>
      </c>
      <c r="C26" s="7" t="str">
        <f>_xlfn.XLOOKUP($A26,Sheet3!$B:$B,Sheet3!E:E)</f>
        <v>贾治辰</v>
      </c>
      <c r="D26" s="6">
        <f>_xlfn.XLOOKUP($A26,Sheet1!$B:$B,Sheet1!H:H)</f>
        <v>100</v>
      </c>
      <c r="E26" s="6">
        <f>_xlfn.XLOOKUP($A26,Sheet1!$B:$B,Sheet1!I:I)</f>
        <v>27</v>
      </c>
      <c r="F26" s="6">
        <f>_xlfn.XLOOKUP($A26,Sheet1!$B:$B,Sheet1!J:J)</f>
        <v>7</v>
      </c>
      <c r="G26" s="6">
        <f>_xlfn.XLOOKUP($A26,Sheet2!$B:$B,Sheet2!H:H)</f>
        <v>100</v>
      </c>
      <c r="H26" s="6">
        <f>_xlfn.XLOOKUP($A26,Sheet2!$B:$B,Sheet2!I:I)</f>
        <v>44</v>
      </c>
      <c r="I26" s="7">
        <f>_xlfn.XLOOKUP($A26,Sheet2!$B:$B,Sheet2!J:J)</f>
        <v>25</v>
      </c>
      <c r="J26" s="8">
        <f>_xlfn.XLOOKUP($A26,Sheet3!$B:$B,Sheet3!H:H)</f>
        <v>100</v>
      </c>
      <c r="K26" s="8">
        <f>_xlfn.XLOOKUP($A26,Sheet3!$B:$B,Sheet3!I:I)</f>
        <v>60</v>
      </c>
      <c r="L26" s="8">
        <f>_xlfn.XLOOKUP($A26,Sheet3!$B:$B,Sheet3!J:J)</f>
        <v>70</v>
      </c>
      <c r="M26" s="8">
        <f>_xlfn.XLOOKUP($A26,Sheet4!$B:$B,Sheet4!H:H)</f>
        <v>100</v>
      </c>
      <c r="N26" s="8">
        <f>_xlfn.XLOOKUP($A26,Sheet4!$B:$B,Sheet4!I:I)</f>
        <v>25</v>
      </c>
      <c r="O26" s="9">
        <f>_xlfn.XLOOKUP($A26,Sheet4!$B:$B,Sheet4!J:J)</f>
        <v>22</v>
      </c>
      <c r="P26" s="8">
        <f>_xlfn.XLOOKUP($A26,Sheet5!$B:$B,Sheet5!H:H)</f>
        <v>100</v>
      </c>
      <c r="Q26" s="8">
        <f>_xlfn.XLOOKUP($A26,Sheet5!$B:$B,Sheet5!I:I)</f>
        <v>48</v>
      </c>
      <c r="R26" s="8">
        <f>_xlfn.XLOOKUP($A26,Sheet5!$B:$B,Sheet5!J:J)</f>
        <v>30</v>
      </c>
      <c r="S26" s="8">
        <f>_xlfn.XLOOKUP($A26,Sheet6!$B:$B,Sheet6!H:H)</f>
        <v>100</v>
      </c>
      <c r="T26" s="8">
        <f>_xlfn.XLOOKUP($A26,Sheet6!$B:$B,Sheet6!I:I)</f>
        <v>100</v>
      </c>
      <c r="U26" s="9">
        <f>_xlfn.XLOOKUP($A26,Sheet6!$B:$B,Sheet6!J:J)</f>
        <v>36</v>
      </c>
      <c r="V26" s="8">
        <f>_xlfn.XLOOKUP($A26,Sheet7!$B:$B,Sheet7!H:H)</f>
        <v>100</v>
      </c>
      <c r="W26" s="8">
        <f>_xlfn.XLOOKUP($A26,Sheet7!$B:$B,Sheet7!I:I)</f>
        <v>90</v>
      </c>
      <c r="X26" s="8">
        <f>_xlfn.XLOOKUP($A26,Sheet7!$B:$B,Sheet7!J:J)</f>
        <v>68</v>
      </c>
      <c r="Y26" s="8">
        <f>_xlfn.XLOOKUP($A26,Sheet8!$B:$B,Sheet8!H:H)</f>
        <v>100</v>
      </c>
      <c r="Z26" s="8">
        <f>_xlfn.XLOOKUP($A26,Sheet8!$B:$B,Sheet8!I:I)</f>
        <v>65</v>
      </c>
      <c r="AA26" s="9">
        <f>_xlfn.XLOOKUP($A26,Sheet8!$B:$B,Sheet8!J:J)</f>
        <v>0</v>
      </c>
      <c r="AB26" s="6">
        <f>_xlfn.XLOOKUP($A26,Sheet1!$B:$B,Sheet1!G:G,0)+_xlfn.XLOOKUP($A26,Sheet2!$B:$B,Sheet2!G:G,0)</f>
        <v>303</v>
      </c>
      <c r="AC26" s="6">
        <f>_xlfn.XLOOKUP($A26,Sheet3!$B:$B,Sheet3!G:G,0)+_xlfn.XLOOKUP($A26,Sheet4!$B:$B,Sheet4!G:G,0)</f>
        <v>377</v>
      </c>
      <c r="AD26" s="6">
        <f>_xlfn.XLOOKUP($A26,Sheet5!$B:$B,Sheet5!G:G,0)+_xlfn.XLOOKUP($A26,Sheet6!$B:$B,Sheet6!G:G,0)</f>
        <v>414</v>
      </c>
      <c r="AE26" s="6">
        <f>_xlfn.XLOOKUP($A26,Sheet7!$B:$B,Sheet7!G:G,0)+_xlfn.XLOOKUP($A26,Sheet8!$B:$B,Sheet8!G:G,0)</f>
        <v>423</v>
      </c>
      <c r="AF26" s="6" cm="1">
        <f t="array" ref="AF26">SUM(IFERROR(AB26:AE26,0))</f>
        <v>1517</v>
      </c>
      <c r="AG26" s="6">
        <f t="shared" si="0"/>
        <v>23</v>
      </c>
    </row>
    <row r="27" spans="1:33" ht="15.6" x14ac:dyDescent="0.3">
      <c r="A27" s="6" t="s">
        <v>326</v>
      </c>
      <c r="B27" s="6" t="str">
        <f>_xlfn.XLOOKUP($A27,Sheet3!$B:$B,Sheet3!D:D)</f>
        <v>安徽师范大学附属中学</v>
      </c>
      <c r="C27" s="7" t="str">
        <f>_xlfn.XLOOKUP($A27,Sheet3!$B:$B,Sheet3!E:E)</f>
        <v>张宗岳</v>
      </c>
      <c r="D27" s="6">
        <f>_xlfn.XLOOKUP($A27,Sheet1!$B:$B,Sheet1!H:H)</f>
        <v>42</v>
      </c>
      <c r="E27" s="6">
        <f>_xlfn.XLOOKUP($A27,Sheet1!$B:$B,Sheet1!I:I)</f>
        <v>0</v>
      </c>
      <c r="F27" s="6">
        <f>_xlfn.XLOOKUP($A27,Sheet1!$B:$B,Sheet1!J:J)</f>
        <v>7</v>
      </c>
      <c r="G27" s="6">
        <f>_xlfn.XLOOKUP($A27,Sheet2!$B:$B,Sheet2!H:H)</f>
        <v>70</v>
      </c>
      <c r="H27" s="6">
        <f>_xlfn.XLOOKUP($A27,Sheet2!$B:$B,Sheet2!I:I)</f>
        <v>56</v>
      </c>
      <c r="I27" s="7">
        <f>_xlfn.XLOOKUP($A27,Sheet2!$B:$B,Sheet2!J:J)</f>
        <v>12</v>
      </c>
      <c r="J27" s="8">
        <f>_xlfn.XLOOKUP($A27,Sheet3!$B:$B,Sheet3!H:H)</f>
        <v>100</v>
      </c>
      <c r="K27" s="8">
        <f>_xlfn.XLOOKUP($A27,Sheet3!$B:$B,Sheet3!I:I)</f>
        <v>60</v>
      </c>
      <c r="L27" s="8">
        <f>_xlfn.XLOOKUP($A27,Sheet3!$B:$B,Sheet3!J:J)</f>
        <v>100</v>
      </c>
      <c r="M27" s="8">
        <f>_xlfn.XLOOKUP($A27,Sheet4!$B:$B,Sheet4!H:H)</f>
        <v>100</v>
      </c>
      <c r="N27" s="8">
        <f>_xlfn.XLOOKUP($A27,Sheet4!$B:$B,Sheet4!I:I)</f>
        <v>100</v>
      </c>
      <c r="O27" s="9">
        <f>_xlfn.XLOOKUP($A27,Sheet4!$B:$B,Sheet4!J:J)</f>
        <v>22</v>
      </c>
      <c r="P27" s="8">
        <f>_xlfn.XLOOKUP($A27,Sheet5!$B:$B,Sheet5!H:H)</f>
        <v>100</v>
      </c>
      <c r="Q27" s="8">
        <f>_xlfn.XLOOKUP($A27,Sheet5!$B:$B,Sheet5!I:I)</f>
        <v>32</v>
      </c>
      <c r="R27" s="8">
        <f>_xlfn.XLOOKUP($A27,Sheet5!$B:$B,Sheet5!J:J)</f>
        <v>30</v>
      </c>
      <c r="S27" s="8">
        <f>_xlfn.XLOOKUP($A27,Sheet6!$B:$B,Sheet6!H:H)</f>
        <v>100</v>
      </c>
      <c r="T27" s="8">
        <f>_xlfn.XLOOKUP($A27,Sheet6!$B:$B,Sheet6!I:I)</f>
        <v>100</v>
      </c>
      <c r="U27" s="9">
        <f>_xlfn.XLOOKUP($A27,Sheet6!$B:$B,Sheet6!J:J)</f>
        <v>96</v>
      </c>
      <c r="V27" s="8">
        <f>_xlfn.XLOOKUP($A27,Sheet7!$B:$B,Sheet7!H:H)</f>
        <v>100</v>
      </c>
      <c r="W27" s="8">
        <f>_xlfn.XLOOKUP($A27,Sheet7!$B:$B,Sheet7!I:I)</f>
        <v>100</v>
      </c>
      <c r="X27" s="8">
        <f>_xlfn.XLOOKUP($A27,Sheet7!$B:$B,Sheet7!J:J)</f>
        <v>40</v>
      </c>
      <c r="Y27" s="8">
        <f>_xlfn.XLOOKUP($A27,Sheet8!$B:$B,Sheet8!H:H)</f>
        <v>100</v>
      </c>
      <c r="Z27" s="8">
        <f>_xlfn.XLOOKUP($A27,Sheet8!$B:$B,Sheet8!I:I)</f>
        <v>0</v>
      </c>
      <c r="AA27" s="9">
        <f>_xlfn.XLOOKUP($A27,Sheet8!$B:$B,Sheet8!J:J)</f>
        <v>25</v>
      </c>
      <c r="AB27" s="6">
        <f>_xlfn.XLOOKUP($A27,Sheet1!$B:$B,Sheet1!G:G,0)+_xlfn.XLOOKUP($A27,Sheet2!$B:$B,Sheet2!G:G,0)</f>
        <v>187</v>
      </c>
      <c r="AC27" s="6">
        <f>_xlfn.XLOOKUP($A27,Sheet3!$B:$B,Sheet3!G:G,0)+_xlfn.XLOOKUP($A27,Sheet4!$B:$B,Sheet4!G:G,0)</f>
        <v>482</v>
      </c>
      <c r="AD27" s="6">
        <f>_xlfn.XLOOKUP($A27,Sheet5!$B:$B,Sheet5!G:G,0)+_xlfn.XLOOKUP($A27,Sheet6!$B:$B,Sheet6!G:G,0)</f>
        <v>458</v>
      </c>
      <c r="AE27" s="6">
        <f>_xlfn.XLOOKUP($A27,Sheet7!$B:$B,Sheet7!G:G,0)+_xlfn.XLOOKUP($A27,Sheet8!$B:$B,Sheet8!G:G,0)</f>
        <v>365</v>
      </c>
      <c r="AF27" s="6" cm="1">
        <f t="array" ref="AF27">SUM(IFERROR(AB27:AE27,0))</f>
        <v>1492</v>
      </c>
      <c r="AG27" s="6">
        <f t="shared" si="0"/>
        <v>24</v>
      </c>
    </row>
    <row r="28" spans="1:33" ht="15.6" x14ac:dyDescent="0.3">
      <c r="A28" s="6" t="s">
        <v>62</v>
      </c>
      <c r="B28" s="6" t="str">
        <f>_xlfn.XLOOKUP($A28,Sheet3!$B:$B,Sheet3!D:D)</f>
        <v>华中师范大学第一附属中学</v>
      </c>
      <c r="C28" s="7" t="str">
        <f>_xlfn.XLOOKUP($A28,Sheet3!$B:$B,Sheet3!E:E)</f>
        <v>柳子宁</v>
      </c>
      <c r="D28" s="6">
        <f>_xlfn.XLOOKUP($A28,Sheet1!$B:$B,Sheet1!H:H)</f>
        <v>100</v>
      </c>
      <c r="E28" s="6">
        <f>_xlfn.XLOOKUP($A28,Sheet1!$B:$B,Sheet1!I:I)</f>
        <v>100</v>
      </c>
      <c r="F28" s="6">
        <f>_xlfn.XLOOKUP($A28,Sheet1!$B:$B,Sheet1!J:J)</f>
        <v>0</v>
      </c>
      <c r="G28" s="6">
        <f>_xlfn.XLOOKUP($A28,Sheet2!$B:$B,Sheet2!H:H)</f>
        <v>100</v>
      </c>
      <c r="H28" s="6">
        <f>_xlfn.XLOOKUP($A28,Sheet2!$B:$B,Sheet2!I:I)</f>
        <v>44</v>
      </c>
      <c r="I28" s="7">
        <f>_xlfn.XLOOKUP($A28,Sheet2!$B:$B,Sheet2!J:J)</f>
        <v>12</v>
      </c>
      <c r="J28" s="8">
        <f>_xlfn.XLOOKUP($A28,Sheet3!$B:$B,Sheet3!H:H)</f>
        <v>100</v>
      </c>
      <c r="K28" s="8">
        <f>_xlfn.XLOOKUP($A28,Sheet3!$B:$B,Sheet3!I:I)</f>
        <v>100</v>
      </c>
      <c r="L28" s="8">
        <f>_xlfn.XLOOKUP($A28,Sheet3!$B:$B,Sheet3!J:J)</f>
        <v>40</v>
      </c>
      <c r="M28" s="8">
        <f>_xlfn.XLOOKUP($A28,Sheet4!$B:$B,Sheet4!H:H)</f>
        <v>100</v>
      </c>
      <c r="N28" s="8">
        <f>_xlfn.XLOOKUP($A28,Sheet4!$B:$B,Sheet4!I:I)</f>
        <v>80</v>
      </c>
      <c r="O28" s="9">
        <f>_xlfn.XLOOKUP($A28,Sheet4!$B:$B,Sheet4!J:J)</f>
        <v>100</v>
      </c>
      <c r="P28" s="8">
        <f>_xlfn.XLOOKUP($A28,Sheet5!$B:$B,Sheet5!H:H)</f>
        <v>65</v>
      </c>
      <c r="Q28" s="8">
        <f>_xlfn.XLOOKUP($A28,Sheet5!$B:$B,Sheet5!I:I)</f>
        <v>32</v>
      </c>
      <c r="R28" s="8">
        <f>_xlfn.XLOOKUP($A28,Sheet5!$B:$B,Sheet5!J:J)</f>
        <v>0</v>
      </c>
      <c r="S28" s="8">
        <f>_xlfn.XLOOKUP($A28,Sheet6!$B:$B,Sheet6!H:H)</f>
        <v>100</v>
      </c>
      <c r="T28" s="8">
        <f>_xlfn.XLOOKUP($A28,Sheet6!$B:$B,Sheet6!I:I)</f>
        <v>100</v>
      </c>
      <c r="U28" s="9">
        <f>_xlfn.XLOOKUP($A28,Sheet6!$B:$B,Sheet6!J:J)</f>
        <v>100</v>
      </c>
      <c r="V28" s="8">
        <f>_xlfn.XLOOKUP($A28,Sheet7!$B:$B,Sheet7!H:H)</f>
        <v>100</v>
      </c>
      <c r="W28" s="8">
        <f>_xlfn.XLOOKUP($A28,Sheet7!$B:$B,Sheet7!I:I)</f>
        <v>100</v>
      </c>
      <c r="X28" s="8">
        <f>_xlfn.XLOOKUP($A28,Sheet7!$B:$B,Sheet7!J:J)</f>
        <v>14</v>
      </c>
      <c r="Y28" s="8">
        <f>_xlfn.XLOOKUP($A28,Sheet8!$B:$B,Sheet8!H:H)</f>
        <v>0</v>
      </c>
      <c r="Z28" s="8">
        <f>_xlfn.XLOOKUP($A28,Sheet8!$B:$B,Sheet8!I:I)</f>
        <v>0</v>
      </c>
      <c r="AA28" s="9">
        <f>_xlfn.XLOOKUP($A28,Sheet8!$B:$B,Sheet8!J:J)</f>
        <v>0</v>
      </c>
      <c r="AB28" s="6">
        <f>_xlfn.XLOOKUP($A28,Sheet1!$B:$B,Sheet1!G:G,0)+_xlfn.XLOOKUP($A28,Sheet2!$B:$B,Sheet2!G:G,0)</f>
        <v>356</v>
      </c>
      <c r="AC28" s="6">
        <f>_xlfn.XLOOKUP($A28,Sheet3!$B:$B,Sheet3!G:G,0)+_xlfn.XLOOKUP($A28,Sheet4!$B:$B,Sheet4!G:G,0)</f>
        <v>520</v>
      </c>
      <c r="AD28" s="6">
        <f>_xlfn.XLOOKUP($A28,Sheet5!$B:$B,Sheet5!G:G,0)+_xlfn.XLOOKUP($A28,Sheet6!$B:$B,Sheet6!G:G,0)</f>
        <v>397</v>
      </c>
      <c r="AE28" s="6">
        <f>_xlfn.XLOOKUP($A28,Sheet7!$B:$B,Sheet7!G:G,0)+_xlfn.XLOOKUP($A28,Sheet8!$B:$B,Sheet8!G:G,0)</f>
        <v>214</v>
      </c>
      <c r="AF28" s="6" cm="1">
        <f t="array" ref="AF28">SUM(IFERROR(AB28:AE28,0))</f>
        <v>1487</v>
      </c>
      <c r="AG28" s="6">
        <f t="shared" si="0"/>
        <v>25</v>
      </c>
    </row>
    <row r="29" spans="1:33" ht="15.6" x14ac:dyDescent="0.3">
      <c r="A29" s="6" t="s">
        <v>106</v>
      </c>
      <c r="B29" s="6" t="str">
        <f>_xlfn.XLOOKUP($A29,Sheet3!$B:$B,Sheet3!D:D)</f>
        <v>成都市第七中学</v>
      </c>
      <c r="C29" s="7" t="str">
        <f>_xlfn.XLOOKUP($A29,Sheet3!$B:$B,Sheet3!E:E)</f>
        <v>邓融阔</v>
      </c>
      <c r="D29" s="6">
        <f>_xlfn.XLOOKUP($A29,Sheet1!$B:$B,Sheet1!H:H)</f>
        <v>100</v>
      </c>
      <c r="E29" s="6">
        <f>_xlfn.XLOOKUP($A29,Sheet1!$B:$B,Sheet1!I:I)</f>
        <v>27</v>
      </c>
      <c r="F29" s="6">
        <f>_xlfn.XLOOKUP($A29,Sheet1!$B:$B,Sheet1!J:J)</f>
        <v>25</v>
      </c>
      <c r="G29" s="6">
        <f>_xlfn.XLOOKUP($A29,Sheet2!$B:$B,Sheet2!H:H)</f>
        <v>100</v>
      </c>
      <c r="H29" s="6">
        <f>_xlfn.XLOOKUP($A29,Sheet2!$B:$B,Sheet2!I:I)</f>
        <v>56</v>
      </c>
      <c r="I29" s="7">
        <f>_xlfn.XLOOKUP($A29,Sheet2!$B:$B,Sheet2!J:J)</f>
        <v>0</v>
      </c>
      <c r="J29" s="8">
        <f>_xlfn.XLOOKUP($A29,Sheet3!$B:$B,Sheet3!H:H)</f>
        <v>100</v>
      </c>
      <c r="K29" s="8">
        <f>_xlfn.XLOOKUP($A29,Sheet3!$B:$B,Sheet3!I:I)</f>
        <v>60</v>
      </c>
      <c r="L29" s="8">
        <f>_xlfn.XLOOKUP($A29,Sheet3!$B:$B,Sheet3!J:J)</f>
        <v>0</v>
      </c>
      <c r="M29" s="8">
        <f>_xlfn.XLOOKUP($A29,Sheet4!$B:$B,Sheet4!H:H)</f>
        <v>100</v>
      </c>
      <c r="N29" s="8">
        <f>_xlfn.XLOOKUP($A29,Sheet4!$B:$B,Sheet4!I:I)</f>
        <v>10</v>
      </c>
      <c r="O29" s="9">
        <f>_xlfn.XLOOKUP($A29,Sheet4!$B:$B,Sheet4!J:J)</f>
        <v>12</v>
      </c>
      <c r="P29" s="8">
        <f>_xlfn.XLOOKUP($A29,Sheet5!$B:$B,Sheet5!H:H)</f>
        <v>100</v>
      </c>
      <c r="Q29" s="8">
        <f>_xlfn.XLOOKUP($A29,Sheet5!$B:$B,Sheet5!I:I)</f>
        <v>97</v>
      </c>
      <c r="R29" s="8">
        <f>_xlfn.XLOOKUP($A29,Sheet5!$B:$B,Sheet5!J:J)</f>
        <v>0</v>
      </c>
      <c r="S29" s="8">
        <f>_xlfn.XLOOKUP($A29,Sheet6!$B:$B,Sheet6!H:H)</f>
        <v>100</v>
      </c>
      <c r="T29" s="8">
        <f>_xlfn.XLOOKUP($A29,Sheet6!$B:$B,Sheet6!I:I)</f>
        <v>100</v>
      </c>
      <c r="U29" s="9">
        <f>_xlfn.XLOOKUP($A29,Sheet6!$B:$B,Sheet6!J:J)</f>
        <v>24</v>
      </c>
      <c r="V29" s="8">
        <f>_xlfn.XLOOKUP($A29,Sheet7!$B:$B,Sheet7!H:H)</f>
        <v>100</v>
      </c>
      <c r="W29" s="8">
        <f>_xlfn.XLOOKUP($A29,Sheet7!$B:$B,Sheet7!I:I)</f>
        <v>100</v>
      </c>
      <c r="X29" s="8">
        <f>_xlfn.XLOOKUP($A29,Sheet7!$B:$B,Sheet7!J:J)</f>
        <v>100</v>
      </c>
      <c r="Y29" s="8">
        <f>_xlfn.XLOOKUP($A29,Sheet8!$B:$B,Sheet8!H:H)</f>
        <v>100</v>
      </c>
      <c r="Z29" s="8">
        <f>_xlfn.XLOOKUP($A29,Sheet8!$B:$B,Sheet8!I:I)</f>
        <v>65</v>
      </c>
      <c r="AA29" s="9">
        <f>_xlfn.XLOOKUP($A29,Sheet8!$B:$B,Sheet8!J:J)</f>
        <v>0</v>
      </c>
      <c r="AB29" s="6">
        <f>_xlfn.XLOOKUP($A29,Sheet1!$B:$B,Sheet1!G:G,0)+_xlfn.XLOOKUP($A29,Sheet2!$B:$B,Sheet2!G:G,0)</f>
        <v>308</v>
      </c>
      <c r="AC29" s="6">
        <f>_xlfn.XLOOKUP($A29,Sheet3!$B:$B,Sheet3!G:G,0)+_xlfn.XLOOKUP($A29,Sheet4!$B:$B,Sheet4!G:G,0)</f>
        <v>282</v>
      </c>
      <c r="AD29" s="6">
        <f>_xlfn.XLOOKUP($A29,Sheet5!$B:$B,Sheet5!G:G,0)+_xlfn.XLOOKUP($A29,Sheet6!$B:$B,Sheet6!G:G,0)</f>
        <v>421</v>
      </c>
      <c r="AE29" s="6">
        <f>_xlfn.XLOOKUP($A29,Sheet7!$B:$B,Sheet7!G:G,0)+_xlfn.XLOOKUP($A29,Sheet8!$B:$B,Sheet8!G:G,0)</f>
        <v>465</v>
      </c>
      <c r="AF29" s="6" cm="1">
        <f t="array" ref="AF29">SUM(IFERROR(AB29:AE29,0))</f>
        <v>1476</v>
      </c>
      <c r="AG29" s="6">
        <f t="shared" si="0"/>
        <v>26</v>
      </c>
    </row>
    <row r="30" spans="1:33" ht="15.6" x14ac:dyDescent="0.3">
      <c r="A30" s="6" t="s">
        <v>256</v>
      </c>
      <c r="B30" s="6" t="str">
        <f>_xlfn.XLOOKUP($A30,Sheet3!$B:$B,Sheet3!D:D)</f>
        <v>西安市铁一中学</v>
      </c>
      <c r="C30" s="7" t="str">
        <f>_xlfn.XLOOKUP($A30,Sheet3!$B:$B,Sheet3!E:E)</f>
        <v>李倏嘉</v>
      </c>
      <c r="D30" s="6">
        <f>_xlfn.XLOOKUP($A30,Sheet1!$B:$B,Sheet1!H:H)</f>
        <v>100</v>
      </c>
      <c r="E30" s="6">
        <f>_xlfn.XLOOKUP($A30,Sheet1!$B:$B,Sheet1!I:I)</f>
        <v>0</v>
      </c>
      <c r="F30" s="6">
        <f>_xlfn.XLOOKUP($A30,Sheet1!$B:$B,Sheet1!J:J)</f>
        <v>0</v>
      </c>
      <c r="G30" s="6">
        <f>_xlfn.XLOOKUP($A30,Sheet2!$B:$B,Sheet2!H:H)</f>
        <v>100</v>
      </c>
      <c r="H30" s="6">
        <f>_xlfn.XLOOKUP($A30,Sheet2!$B:$B,Sheet2!I:I)</f>
        <v>0</v>
      </c>
      <c r="I30" s="7">
        <f>_xlfn.XLOOKUP($A30,Sheet2!$B:$B,Sheet2!J:J)</f>
        <v>0</v>
      </c>
      <c r="J30" s="8">
        <f>_xlfn.XLOOKUP($A30,Sheet3!$B:$B,Sheet3!H:H)</f>
        <v>100</v>
      </c>
      <c r="K30" s="8">
        <f>_xlfn.XLOOKUP($A30,Sheet3!$B:$B,Sheet3!I:I)</f>
        <v>100</v>
      </c>
      <c r="L30" s="8">
        <f>_xlfn.XLOOKUP($A30,Sheet3!$B:$B,Sheet3!J:J)</f>
        <v>50</v>
      </c>
      <c r="M30" s="8">
        <f>_xlfn.XLOOKUP($A30,Sheet4!$B:$B,Sheet4!H:H)</f>
        <v>100</v>
      </c>
      <c r="N30" s="8">
        <f>_xlfn.XLOOKUP($A30,Sheet4!$B:$B,Sheet4!I:I)</f>
        <v>11</v>
      </c>
      <c r="O30" s="9">
        <f>_xlfn.XLOOKUP($A30,Sheet4!$B:$B,Sheet4!J:J)</f>
        <v>100</v>
      </c>
      <c r="P30" s="8">
        <f>_xlfn.XLOOKUP($A30,Sheet5!$B:$B,Sheet5!H:H)</f>
        <v>100</v>
      </c>
      <c r="Q30" s="8">
        <f>_xlfn.XLOOKUP($A30,Sheet5!$B:$B,Sheet5!I:I)</f>
        <v>32</v>
      </c>
      <c r="R30" s="8">
        <f>_xlfn.XLOOKUP($A30,Sheet5!$B:$B,Sheet5!J:J)</f>
        <v>100</v>
      </c>
      <c r="S30" s="8">
        <f>_xlfn.XLOOKUP($A30,Sheet6!$B:$B,Sheet6!H:H)</f>
        <v>100</v>
      </c>
      <c r="T30" s="8">
        <f>_xlfn.XLOOKUP($A30,Sheet6!$B:$B,Sheet6!I:I)</f>
        <v>100</v>
      </c>
      <c r="U30" s="9">
        <f>_xlfn.XLOOKUP($A30,Sheet6!$B:$B,Sheet6!J:J)</f>
        <v>36</v>
      </c>
      <c r="V30" s="8">
        <f>_xlfn.XLOOKUP($A30,Sheet7!$B:$B,Sheet7!H:H)</f>
        <v>100</v>
      </c>
      <c r="W30" s="8">
        <f>_xlfn.XLOOKUP($A30,Sheet7!$B:$B,Sheet7!I:I)</f>
        <v>0</v>
      </c>
      <c r="X30" s="8">
        <f>_xlfn.XLOOKUP($A30,Sheet7!$B:$B,Sheet7!J:J)</f>
        <v>78</v>
      </c>
      <c r="Y30" s="8">
        <f>_xlfn.XLOOKUP($A30,Sheet8!$B:$B,Sheet8!H:H)</f>
        <v>100</v>
      </c>
      <c r="Z30" s="8">
        <f>_xlfn.XLOOKUP($A30,Sheet8!$B:$B,Sheet8!I:I)</f>
        <v>65</v>
      </c>
      <c r="AA30" s="9">
        <f>_xlfn.XLOOKUP($A30,Sheet8!$B:$B,Sheet8!J:J)</f>
        <v>0</v>
      </c>
      <c r="AB30" s="6">
        <f>_xlfn.XLOOKUP($A30,Sheet1!$B:$B,Sheet1!G:G,0)+_xlfn.XLOOKUP($A30,Sheet2!$B:$B,Sheet2!G:G,0)</f>
        <v>200</v>
      </c>
      <c r="AC30" s="6">
        <f>_xlfn.XLOOKUP($A30,Sheet3!$B:$B,Sheet3!G:G,0)+_xlfn.XLOOKUP($A30,Sheet4!$B:$B,Sheet4!G:G,0)</f>
        <v>461</v>
      </c>
      <c r="AD30" s="6">
        <f>_xlfn.XLOOKUP($A30,Sheet5!$B:$B,Sheet5!G:G,0)+_xlfn.XLOOKUP($A30,Sheet6!$B:$B,Sheet6!G:G,0)</f>
        <v>468</v>
      </c>
      <c r="AE30" s="6">
        <f>_xlfn.XLOOKUP($A30,Sheet7!$B:$B,Sheet7!G:G,0)+_xlfn.XLOOKUP($A30,Sheet8!$B:$B,Sheet8!G:G,0)</f>
        <v>343</v>
      </c>
      <c r="AF30" s="6" cm="1">
        <f t="array" ref="AF30">SUM(IFERROR(AB30:AE30,0))</f>
        <v>1472</v>
      </c>
      <c r="AG30" s="6">
        <f t="shared" si="0"/>
        <v>27</v>
      </c>
    </row>
    <row r="31" spans="1:33" ht="15.6" x14ac:dyDescent="0.3">
      <c r="A31" s="6" t="s">
        <v>173</v>
      </c>
      <c r="B31" s="6" t="str">
        <f>_xlfn.XLOOKUP($A31,Sheet3!$B:$B,Sheet3!D:D)</f>
        <v>广州市第二中学</v>
      </c>
      <c r="C31" s="7" t="str">
        <f>_xlfn.XLOOKUP($A31,Sheet3!$B:$B,Sheet3!E:E)</f>
        <v>范璟阳</v>
      </c>
      <c r="D31" s="6">
        <f>_xlfn.XLOOKUP($A31,Sheet1!$B:$B,Sheet1!H:H)</f>
        <v>100</v>
      </c>
      <c r="E31" s="6">
        <f>_xlfn.XLOOKUP($A31,Sheet1!$B:$B,Sheet1!I:I)</f>
        <v>27</v>
      </c>
      <c r="F31" s="6">
        <f>_xlfn.XLOOKUP($A31,Sheet1!$B:$B,Sheet1!J:J)</f>
        <v>0</v>
      </c>
      <c r="G31" s="6">
        <f>_xlfn.XLOOKUP($A31,Sheet2!$B:$B,Sheet2!H:H)</f>
        <v>100</v>
      </c>
      <c r="H31" s="6">
        <f>_xlfn.XLOOKUP($A31,Sheet2!$B:$B,Sheet2!I:I)</f>
        <v>44</v>
      </c>
      <c r="I31" s="7">
        <f>_xlfn.XLOOKUP($A31,Sheet2!$B:$B,Sheet2!J:J)</f>
        <v>12</v>
      </c>
      <c r="J31" s="8">
        <f>_xlfn.XLOOKUP($A31,Sheet3!$B:$B,Sheet3!H:H)</f>
        <v>100</v>
      </c>
      <c r="K31" s="8">
        <f>_xlfn.XLOOKUP($A31,Sheet3!$B:$B,Sheet3!I:I)</f>
        <v>100</v>
      </c>
      <c r="L31" s="8">
        <f>_xlfn.XLOOKUP($A31,Sheet3!$B:$B,Sheet3!J:J)</f>
        <v>50</v>
      </c>
      <c r="M31" s="8">
        <f>_xlfn.XLOOKUP($A31,Sheet4!$B:$B,Sheet4!H:H)</f>
        <v>100</v>
      </c>
      <c r="N31" s="8">
        <f>_xlfn.XLOOKUP($A31,Sheet4!$B:$B,Sheet4!I:I)</f>
        <v>0</v>
      </c>
      <c r="O31" s="9">
        <f>_xlfn.XLOOKUP($A31,Sheet4!$B:$B,Sheet4!J:J)</f>
        <v>100</v>
      </c>
      <c r="P31" s="8">
        <f>_xlfn.XLOOKUP($A31,Sheet5!$B:$B,Sheet5!H:H)</f>
        <v>100</v>
      </c>
      <c r="Q31" s="8">
        <f>_xlfn.XLOOKUP($A31,Sheet5!$B:$B,Sheet5!I:I)</f>
        <v>48</v>
      </c>
      <c r="R31" s="8">
        <f>_xlfn.XLOOKUP($A31,Sheet5!$B:$B,Sheet5!J:J)</f>
        <v>0</v>
      </c>
      <c r="S31" s="8">
        <f>_xlfn.XLOOKUP($A31,Sheet6!$B:$B,Sheet6!H:H)</f>
        <v>100</v>
      </c>
      <c r="T31" s="8">
        <f>_xlfn.XLOOKUP($A31,Sheet6!$B:$B,Sheet6!I:I)</f>
        <v>100</v>
      </c>
      <c r="U31" s="9">
        <f>_xlfn.XLOOKUP($A31,Sheet6!$B:$B,Sheet6!J:J)</f>
        <v>100</v>
      </c>
      <c r="V31" s="8">
        <f>_xlfn.XLOOKUP($A31,Sheet7!$B:$B,Sheet7!H:H)</f>
        <v>100</v>
      </c>
      <c r="W31" s="8">
        <f>_xlfn.XLOOKUP($A31,Sheet7!$B:$B,Sheet7!I:I)</f>
        <v>90</v>
      </c>
      <c r="X31" s="8">
        <f>_xlfn.XLOOKUP($A31,Sheet7!$B:$B,Sheet7!J:J)</f>
        <v>0</v>
      </c>
      <c r="Y31" s="8">
        <f>_xlfn.XLOOKUP($A31,Sheet8!$B:$B,Sheet8!H:H)</f>
        <v>100</v>
      </c>
      <c r="Z31" s="8">
        <f>_xlfn.XLOOKUP($A31,Sheet8!$B:$B,Sheet8!I:I)</f>
        <v>0</v>
      </c>
      <c r="AA31" s="9">
        <f>_xlfn.XLOOKUP($A31,Sheet8!$B:$B,Sheet8!J:J)</f>
        <v>0</v>
      </c>
      <c r="AB31" s="6">
        <f>_xlfn.XLOOKUP($A31,Sheet1!$B:$B,Sheet1!G:G,0)+_xlfn.XLOOKUP($A31,Sheet2!$B:$B,Sheet2!G:G,0)</f>
        <v>283</v>
      </c>
      <c r="AC31" s="6">
        <f>_xlfn.XLOOKUP($A31,Sheet3!$B:$B,Sheet3!G:G,0)+_xlfn.XLOOKUP($A31,Sheet4!$B:$B,Sheet4!G:G,0)</f>
        <v>450</v>
      </c>
      <c r="AD31" s="6">
        <f>_xlfn.XLOOKUP($A31,Sheet5!$B:$B,Sheet5!G:G,0)+_xlfn.XLOOKUP($A31,Sheet6!$B:$B,Sheet6!G:G,0)</f>
        <v>448</v>
      </c>
      <c r="AE31" s="6">
        <f>_xlfn.XLOOKUP($A31,Sheet7!$B:$B,Sheet7!G:G,0)+_xlfn.XLOOKUP($A31,Sheet8!$B:$B,Sheet8!G:G,0)</f>
        <v>290</v>
      </c>
      <c r="AF31" s="6" cm="1">
        <f t="array" ref="AF31">SUM(IFERROR(AB31:AE31,0))</f>
        <v>1471</v>
      </c>
      <c r="AG31" s="6">
        <f t="shared" si="0"/>
        <v>28</v>
      </c>
    </row>
    <row r="32" spans="1:33" ht="15.6" x14ac:dyDescent="0.3">
      <c r="A32" s="6" t="s">
        <v>54</v>
      </c>
      <c r="B32" s="6" t="str">
        <f>_xlfn.XLOOKUP($A32,Sheet3!$B:$B,Sheet3!D:D)</f>
        <v>北京中学</v>
      </c>
      <c r="C32" s="7" t="str">
        <f>_xlfn.XLOOKUP($A32,Sheet3!$B:$B,Sheet3!E:E)</f>
        <v>胡筝</v>
      </c>
      <c r="D32" s="6">
        <f>_xlfn.XLOOKUP($A32,Sheet1!$B:$B,Sheet1!H:H)</f>
        <v>100</v>
      </c>
      <c r="E32" s="6">
        <f>_xlfn.XLOOKUP($A32,Sheet1!$B:$B,Sheet1!I:I)</f>
        <v>100</v>
      </c>
      <c r="F32" s="6">
        <f>_xlfn.XLOOKUP($A32,Sheet1!$B:$B,Sheet1!J:J)</f>
        <v>0</v>
      </c>
      <c r="G32" s="6">
        <f>_xlfn.XLOOKUP($A32,Sheet2!$B:$B,Sheet2!H:H)</f>
        <v>100</v>
      </c>
      <c r="H32" s="6">
        <f>_xlfn.XLOOKUP($A32,Sheet2!$B:$B,Sheet2!I:I)</f>
        <v>20</v>
      </c>
      <c r="I32" s="7">
        <f>_xlfn.XLOOKUP($A32,Sheet2!$B:$B,Sheet2!J:J)</f>
        <v>12</v>
      </c>
      <c r="J32" s="8">
        <f>_xlfn.XLOOKUP($A32,Sheet3!$B:$B,Sheet3!H:H)</f>
        <v>78</v>
      </c>
      <c r="K32" s="8">
        <f>_xlfn.XLOOKUP($A32,Sheet3!$B:$B,Sheet3!I:I)</f>
        <v>100</v>
      </c>
      <c r="L32" s="8">
        <f>_xlfn.XLOOKUP($A32,Sheet3!$B:$B,Sheet3!J:J)</f>
        <v>40</v>
      </c>
      <c r="M32" s="8">
        <f>_xlfn.XLOOKUP($A32,Sheet4!$B:$B,Sheet4!H:H)</f>
        <v>100</v>
      </c>
      <c r="N32" s="8">
        <f>_xlfn.XLOOKUP($A32,Sheet4!$B:$B,Sheet4!I:I)</f>
        <v>9</v>
      </c>
      <c r="O32" s="9">
        <f>_xlfn.XLOOKUP($A32,Sheet4!$B:$B,Sheet4!J:J)</f>
        <v>22</v>
      </c>
      <c r="P32" s="8">
        <f>_xlfn.XLOOKUP($A32,Sheet5!$B:$B,Sheet5!H:H)</f>
        <v>100</v>
      </c>
      <c r="Q32" s="8">
        <f>_xlfn.XLOOKUP($A32,Sheet5!$B:$B,Sheet5!I:I)</f>
        <v>78</v>
      </c>
      <c r="R32" s="8">
        <f>_xlfn.XLOOKUP($A32,Sheet5!$B:$B,Sheet5!J:J)</f>
        <v>20</v>
      </c>
      <c r="S32" s="8">
        <f>_xlfn.XLOOKUP($A32,Sheet6!$B:$B,Sheet6!H:H)</f>
        <v>100</v>
      </c>
      <c r="T32" s="8">
        <f>_xlfn.XLOOKUP($A32,Sheet6!$B:$B,Sheet6!I:I)</f>
        <v>100</v>
      </c>
      <c r="U32" s="9">
        <f>_xlfn.XLOOKUP($A32,Sheet6!$B:$B,Sheet6!J:J)</f>
        <v>100</v>
      </c>
      <c r="V32" s="8">
        <f>_xlfn.XLOOKUP($A32,Sheet7!$B:$B,Sheet7!H:H)</f>
        <v>100</v>
      </c>
      <c r="W32" s="8">
        <f>_xlfn.XLOOKUP($A32,Sheet7!$B:$B,Sheet7!I:I)</f>
        <v>10</v>
      </c>
      <c r="X32" s="8">
        <f>_xlfn.XLOOKUP($A32,Sheet7!$B:$B,Sheet7!J:J)</f>
        <v>0</v>
      </c>
      <c r="Y32" s="8">
        <f>_xlfn.XLOOKUP($A32,Sheet8!$B:$B,Sheet8!H:H)</f>
        <v>100</v>
      </c>
      <c r="Z32" s="8">
        <f>_xlfn.XLOOKUP($A32,Sheet8!$B:$B,Sheet8!I:I)</f>
        <v>65</v>
      </c>
      <c r="AA32" s="9">
        <f>_xlfn.XLOOKUP($A32,Sheet8!$B:$B,Sheet8!J:J)</f>
        <v>0</v>
      </c>
      <c r="AB32" s="6">
        <f>_xlfn.XLOOKUP($A32,Sheet1!$B:$B,Sheet1!G:G,0)+_xlfn.XLOOKUP($A32,Sheet2!$B:$B,Sheet2!G:G,0)</f>
        <v>332</v>
      </c>
      <c r="AC32" s="6">
        <f>_xlfn.XLOOKUP($A32,Sheet3!$B:$B,Sheet3!G:G,0)+_xlfn.XLOOKUP($A32,Sheet4!$B:$B,Sheet4!G:G,0)</f>
        <v>349</v>
      </c>
      <c r="AD32" s="6">
        <f>_xlfn.XLOOKUP($A32,Sheet5!$B:$B,Sheet5!G:G,0)+_xlfn.XLOOKUP($A32,Sheet6!$B:$B,Sheet6!G:G,0)</f>
        <v>498</v>
      </c>
      <c r="AE32" s="6">
        <f>_xlfn.XLOOKUP($A32,Sheet7!$B:$B,Sheet7!G:G,0)+_xlfn.XLOOKUP($A32,Sheet8!$B:$B,Sheet8!G:G,0)</f>
        <v>275</v>
      </c>
      <c r="AF32" s="6" cm="1">
        <f t="array" ref="AF32">SUM(IFERROR(AB32:AE32,0))</f>
        <v>1454</v>
      </c>
      <c r="AG32" s="6">
        <f t="shared" si="0"/>
        <v>29</v>
      </c>
    </row>
    <row r="33" spans="1:33" ht="15.6" x14ac:dyDescent="0.3">
      <c r="A33" s="6" t="s">
        <v>153</v>
      </c>
      <c r="B33" s="6" t="str">
        <f>_xlfn.XLOOKUP($A33,Sheet3!$B:$B,Sheet3!D:D)</f>
        <v>深圳外国语学校</v>
      </c>
      <c r="C33" s="7" t="str">
        <f>_xlfn.XLOOKUP($A33,Sheet3!$B:$B,Sheet3!E:E)</f>
        <v>许由</v>
      </c>
      <c r="D33" s="6">
        <f>_xlfn.XLOOKUP($A33,Sheet1!$B:$B,Sheet1!H:H)</f>
        <v>100</v>
      </c>
      <c r="E33" s="6">
        <f>_xlfn.XLOOKUP($A33,Sheet1!$B:$B,Sheet1!I:I)</f>
        <v>42</v>
      </c>
      <c r="F33" s="6">
        <f>_xlfn.XLOOKUP($A33,Sheet1!$B:$B,Sheet1!J:J)</f>
        <v>0</v>
      </c>
      <c r="G33" s="6">
        <f>_xlfn.XLOOKUP($A33,Sheet2!$B:$B,Sheet2!H:H)</f>
        <v>100</v>
      </c>
      <c r="H33" s="6">
        <f>_xlfn.XLOOKUP($A33,Sheet2!$B:$B,Sheet2!I:I)</f>
        <v>56</v>
      </c>
      <c r="I33" s="7">
        <f>_xlfn.XLOOKUP($A33,Sheet2!$B:$B,Sheet2!J:J)</f>
        <v>21</v>
      </c>
      <c r="J33" s="8">
        <f>_xlfn.XLOOKUP($A33,Sheet3!$B:$B,Sheet3!H:H)</f>
        <v>100</v>
      </c>
      <c r="K33" s="8">
        <f>_xlfn.XLOOKUP($A33,Sheet3!$B:$B,Sheet3!I:I)</f>
        <v>100</v>
      </c>
      <c r="L33" s="8">
        <f>_xlfn.XLOOKUP($A33,Sheet3!$B:$B,Sheet3!J:J)</f>
        <v>40</v>
      </c>
      <c r="M33" s="8">
        <f>_xlfn.XLOOKUP($A33,Sheet4!$B:$B,Sheet4!H:H)</f>
        <v>100</v>
      </c>
      <c r="N33" s="8">
        <f>_xlfn.XLOOKUP($A33,Sheet4!$B:$B,Sheet4!I:I)</f>
        <v>0</v>
      </c>
      <c r="O33" s="9">
        <f>_xlfn.XLOOKUP($A33,Sheet4!$B:$B,Sheet4!J:J)</f>
        <v>0</v>
      </c>
      <c r="P33" s="8">
        <f>_xlfn.XLOOKUP($A33,Sheet5!$B:$B,Sheet5!H:H)</f>
        <v>95</v>
      </c>
      <c r="Q33" s="8">
        <f>_xlfn.XLOOKUP($A33,Sheet5!$B:$B,Sheet5!I:I)</f>
        <v>48</v>
      </c>
      <c r="R33" s="8">
        <f>_xlfn.XLOOKUP($A33,Sheet5!$B:$B,Sheet5!J:J)</f>
        <v>0</v>
      </c>
      <c r="S33" s="8">
        <f>_xlfn.XLOOKUP($A33,Sheet6!$B:$B,Sheet6!H:H)</f>
        <v>100</v>
      </c>
      <c r="T33" s="8">
        <f>_xlfn.XLOOKUP($A33,Sheet6!$B:$B,Sheet6!I:I)</f>
        <v>100</v>
      </c>
      <c r="U33" s="9">
        <f>_xlfn.XLOOKUP($A33,Sheet6!$B:$B,Sheet6!J:J)</f>
        <v>100</v>
      </c>
      <c r="V33" s="8">
        <f>_xlfn.XLOOKUP($A33,Sheet7!$B:$B,Sheet7!H:H)</f>
        <v>100</v>
      </c>
      <c r="W33" s="8">
        <f>_xlfn.XLOOKUP($A33,Sheet7!$B:$B,Sheet7!I:I)</f>
        <v>90</v>
      </c>
      <c r="X33" s="8">
        <f>_xlfn.XLOOKUP($A33,Sheet7!$B:$B,Sheet7!J:J)</f>
        <v>13</v>
      </c>
      <c r="Y33" s="8">
        <f>_xlfn.XLOOKUP($A33,Sheet8!$B:$B,Sheet8!H:H)</f>
        <v>100</v>
      </c>
      <c r="Z33" s="8">
        <f>_xlfn.XLOOKUP($A33,Sheet8!$B:$B,Sheet8!I:I)</f>
        <v>0</v>
      </c>
      <c r="AA33" s="9">
        <f>_xlfn.XLOOKUP($A33,Sheet8!$B:$B,Sheet8!J:J)</f>
        <v>30</v>
      </c>
      <c r="AB33" s="6">
        <f>_xlfn.XLOOKUP($A33,Sheet1!$B:$B,Sheet1!G:G,0)+_xlfn.XLOOKUP($A33,Sheet2!$B:$B,Sheet2!G:G,0)</f>
        <v>319</v>
      </c>
      <c r="AC33" s="6">
        <f>_xlfn.XLOOKUP($A33,Sheet3!$B:$B,Sheet3!G:G,0)+_xlfn.XLOOKUP($A33,Sheet4!$B:$B,Sheet4!G:G,0)</f>
        <v>340</v>
      </c>
      <c r="AD33" s="6">
        <f>_xlfn.XLOOKUP($A33,Sheet5!$B:$B,Sheet5!G:G,0)+_xlfn.XLOOKUP($A33,Sheet6!$B:$B,Sheet6!G:G,0)</f>
        <v>443</v>
      </c>
      <c r="AE33" s="6">
        <f>_xlfn.XLOOKUP($A33,Sheet7!$B:$B,Sheet7!G:G,0)+_xlfn.XLOOKUP($A33,Sheet8!$B:$B,Sheet8!G:G,0)</f>
        <v>333</v>
      </c>
      <c r="AF33" s="6" cm="1">
        <f t="array" ref="AF33">SUM(IFERROR(AB33:AE33,0))</f>
        <v>1435</v>
      </c>
      <c r="AG33" s="6">
        <f t="shared" si="0"/>
        <v>30</v>
      </c>
    </row>
    <row r="34" spans="1:33" ht="15.6" x14ac:dyDescent="0.3">
      <c r="A34" s="6" t="s">
        <v>91</v>
      </c>
      <c r="B34" s="6" t="str">
        <f>_xlfn.XLOOKUP($A34,Sheet3!$B:$B,Sheet3!D:D)</f>
        <v>佛山市南海区石门中学</v>
      </c>
      <c r="C34" s="7" t="str">
        <f>_xlfn.XLOOKUP($A34,Sheet3!$B:$B,Sheet3!E:E)</f>
        <v>谢朝阳</v>
      </c>
      <c r="D34" s="6">
        <f>_xlfn.XLOOKUP($A34,Sheet1!$B:$B,Sheet1!H:H)</f>
        <v>100</v>
      </c>
      <c r="E34" s="6">
        <f>_xlfn.XLOOKUP($A34,Sheet1!$B:$B,Sheet1!I:I)</f>
        <v>66</v>
      </c>
      <c r="F34" s="6">
        <f>_xlfn.XLOOKUP($A34,Sheet1!$B:$B,Sheet1!J:J)</f>
        <v>0</v>
      </c>
      <c r="G34" s="6">
        <f>_xlfn.XLOOKUP($A34,Sheet2!$B:$B,Sheet2!H:H)</f>
        <v>100</v>
      </c>
      <c r="H34" s="6">
        <f>_xlfn.XLOOKUP($A34,Sheet2!$B:$B,Sheet2!I:I)</f>
        <v>0</v>
      </c>
      <c r="I34" s="7">
        <f>_xlfn.XLOOKUP($A34,Sheet2!$B:$B,Sheet2!J:J)</f>
        <v>15</v>
      </c>
      <c r="J34" s="8">
        <f>_xlfn.XLOOKUP($A34,Sheet3!$B:$B,Sheet3!H:H)</f>
        <v>100</v>
      </c>
      <c r="K34" s="8">
        <f>_xlfn.XLOOKUP($A34,Sheet3!$B:$B,Sheet3!I:I)</f>
        <v>100</v>
      </c>
      <c r="L34" s="8">
        <f>_xlfn.XLOOKUP($A34,Sheet3!$B:$B,Sheet3!J:J)</f>
        <v>40</v>
      </c>
      <c r="M34" s="8">
        <f>_xlfn.XLOOKUP($A34,Sheet4!$B:$B,Sheet4!H:H)</f>
        <v>60</v>
      </c>
      <c r="N34" s="8">
        <f>_xlfn.XLOOKUP($A34,Sheet4!$B:$B,Sheet4!I:I)</f>
        <v>0</v>
      </c>
      <c r="O34" s="9">
        <f>_xlfn.XLOOKUP($A34,Sheet4!$B:$B,Sheet4!J:J)</f>
        <v>5</v>
      </c>
      <c r="P34" s="8">
        <f>_xlfn.XLOOKUP($A34,Sheet5!$B:$B,Sheet5!H:H)</f>
        <v>90</v>
      </c>
      <c r="Q34" s="8">
        <f>_xlfn.XLOOKUP($A34,Sheet5!$B:$B,Sheet5!I:I)</f>
        <v>74</v>
      </c>
      <c r="R34" s="8">
        <f>_xlfn.XLOOKUP($A34,Sheet5!$B:$B,Sheet5!J:J)</f>
        <v>0</v>
      </c>
      <c r="S34" s="8">
        <f>_xlfn.XLOOKUP($A34,Sheet6!$B:$B,Sheet6!H:H)</f>
        <v>100</v>
      </c>
      <c r="T34" s="8">
        <f>_xlfn.XLOOKUP($A34,Sheet6!$B:$B,Sheet6!I:I)</f>
        <v>100</v>
      </c>
      <c r="U34" s="9">
        <f>_xlfn.XLOOKUP($A34,Sheet6!$B:$B,Sheet6!J:J)</f>
        <v>100</v>
      </c>
      <c r="V34" s="8">
        <f>_xlfn.XLOOKUP($A34,Sheet7!$B:$B,Sheet7!H:H)</f>
        <v>100</v>
      </c>
      <c r="W34" s="8">
        <f>_xlfn.XLOOKUP($A34,Sheet7!$B:$B,Sheet7!I:I)</f>
        <v>100</v>
      </c>
      <c r="X34" s="8">
        <f>_xlfn.XLOOKUP($A34,Sheet7!$B:$B,Sheet7!J:J)</f>
        <v>19</v>
      </c>
      <c r="Y34" s="8">
        <f>_xlfn.XLOOKUP($A34,Sheet8!$B:$B,Sheet8!H:H)</f>
        <v>100</v>
      </c>
      <c r="Z34" s="8">
        <f>_xlfn.XLOOKUP($A34,Sheet8!$B:$B,Sheet8!I:I)</f>
        <v>65</v>
      </c>
      <c r="AA34" s="9">
        <f>_xlfn.XLOOKUP($A34,Sheet8!$B:$B,Sheet8!J:J)</f>
        <v>0</v>
      </c>
      <c r="AB34" s="6">
        <f>_xlfn.XLOOKUP($A34,Sheet1!$B:$B,Sheet1!G:G,0)+_xlfn.XLOOKUP($A34,Sheet2!$B:$B,Sheet2!G:G,0)</f>
        <v>281</v>
      </c>
      <c r="AC34" s="6">
        <f>_xlfn.XLOOKUP($A34,Sheet3!$B:$B,Sheet3!G:G,0)+_xlfn.XLOOKUP($A34,Sheet4!$B:$B,Sheet4!G:G,0)</f>
        <v>305</v>
      </c>
      <c r="AD34" s="6">
        <f>_xlfn.XLOOKUP($A34,Sheet5!$B:$B,Sheet5!G:G,0)+_xlfn.XLOOKUP($A34,Sheet6!$B:$B,Sheet6!G:G,0)</f>
        <v>464</v>
      </c>
      <c r="AE34" s="6">
        <f>_xlfn.XLOOKUP($A34,Sheet7!$B:$B,Sheet7!G:G,0)+_xlfn.XLOOKUP($A34,Sheet8!$B:$B,Sheet8!G:G,0)</f>
        <v>384</v>
      </c>
      <c r="AF34" s="6" cm="1">
        <f t="array" ref="AF34">SUM(IFERROR(AB34:AE34,0))</f>
        <v>1434</v>
      </c>
      <c r="AG34" s="6">
        <f t="shared" si="0"/>
        <v>31</v>
      </c>
    </row>
    <row r="35" spans="1:33" ht="15.6" x14ac:dyDescent="0.3">
      <c r="A35" s="6" t="s">
        <v>252</v>
      </c>
      <c r="B35" s="6" t="str">
        <f>_xlfn.XLOOKUP($A35,Sheet3!$B:$B,Sheet3!D:D)</f>
        <v>重庆市第八中学校</v>
      </c>
      <c r="C35" s="7" t="str">
        <f>_xlfn.XLOOKUP($A35,Sheet3!$B:$B,Sheet3!E:E)</f>
        <v>彭彦桐</v>
      </c>
      <c r="D35" s="6">
        <f>_xlfn.XLOOKUP($A35,Sheet1!$B:$B,Sheet1!H:H)</f>
        <v>100</v>
      </c>
      <c r="E35" s="6">
        <f>_xlfn.XLOOKUP($A35,Sheet1!$B:$B,Sheet1!I:I)</f>
        <v>0</v>
      </c>
      <c r="F35" s="6">
        <f>_xlfn.XLOOKUP($A35,Sheet1!$B:$B,Sheet1!J:J)</f>
        <v>0</v>
      </c>
      <c r="G35" s="6">
        <f>_xlfn.XLOOKUP($A35,Sheet2!$B:$B,Sheet2!H:H)</f>
        <v>100</v>
      </c>
      <c r="H35" s="6">
        <f>_xlfn.XLOOKUP($A35,Sheet2!$B:$B,Sheet2!I:I)</f>
        <v>56</v>
      </c>
      <c r="I35" s="7">
        <f>_xlfn.XLOOKUP($A35,Sheet2!$B:$B,Sheet2!J:J)</f>
        <v>12</v>
      </c>
      <c r="J35" s="8">
        <f>_xlfn.XLOOKUP($A35,Sheet3!$B:$B,Sheet3!H:H)</f>
        <v>100</v>
      </c>
      <c r="K35" s="8">
        <f>_xlfn.XLOOKUP($A35,Sheet3!$B:$B,Sheet3!I:I)</f>
        <v>100</v>
      </c>
      <c r="L35" s="8">
        <f>_xlfn.XLOOKUP($A35,Sheet3!$B:$B,Sheet3!J:J)</f>
        <v>40</v>
      </c>
      <c r="M35" s="8">
        <f>_xlfn.XLOOKUP($A35,Sheet4!$B:$B,Sheet4!H:H)</f>
        <v>100</v>
      </c>
      <c r="N35" s="8">
        <f>_xlfn.XLOOKUP($A35,Sheet4!$B:$B,Sheet4!I:I)</f>
        <v>0</v>
      </c>
      <c r="O35" s="9">
        <f>_xlfn.XLOOKUP($A35,Sheet4!$B:$B,Sheet4!J:J)</f>
        <v>0</v>
      </c>
      <c r="P35" s="8">
        <f>_xlfn.XLOOKUP($A35,Sheet5!$B:$B,Sheet5!H:H)</f>
        <v>100</v>
      </c>
      <c r="Q35" s="8">
        <f>_xlfn.XLOOKUP($A35,Sheet5!$B:$B,Sheet5!I:I)</f>
        <v>45</v>
      </c>
      <c r="R35" s="8">
        <f>_xlfn.XLOOKUP($A35,Sheet5!$B:$B,Sheet5!J:J)</f>
        <v>0</v>
      </c>
      <c r="S35" s="8">
        <f>_xlfn.XLOOKUP($A35,Sheet6!$B:$B,Sheet6!H:H)</f>
        <v>100</v>
      </c>
      <c r="T35" s="8">
        <f>_xlfn.XLOOKUP($A35,Sheet6!$B:$B,Sheet6!I:I)</f>
        <v>100</v>
      </c>
      <c r="U35" s="9">
        <f>_xlfn.XLOOKUP($A35,Sheet6!$B:$B,Sheet6!J:J)</f>
        <v>24</v>
      </c>
      <c r="V35" s="8">
        <f>_xlfn.XLOOKUP($A35,Sheet7!$B:$B,Sheet7!H:H)</f>
        <v>100</v>
      </c>
      <c r="W35" s="8">
        <f>_xlfn.XLOOKUP($A35,Sheet7!$B:$B,Sheet7!I:I)</f>
        <v>90</v>
      </c>
      <c r="X35" s="8">
        <f>_xlfn.XLOOKUP($A35,Sheet7!$B:$B,Sheet7!J:J)</f>
        <v>19</v>
      </c>
      <c r="Y35" s="8">
        <f>_xlfn.XLOOKUP($A35,Sheet8!$B:$B,Sheet8!H:H)</f>
        <v>100</v>
      </c>
      <c r="Z35" s="8">
        <f>_xlfn.XLOOKUP($A35,Sheet8!$B:$B,Sheet8!I:I)</f>
        <v>100</v>
      </c>
      <c r="AA35" s="9">
        <f>_xlfn.XLOOKUP($A35,Sheet8!$B:$B,Sheet8!J:J)</f>
        <v>25</v>
      </c>
      <c r="AB35" s="6">
        <f>_xlfn.XLOOKUP($A35,Sheet1!$B:$B,Sheet1!G:G,0)+_xlfn.XLOOKUP($A35,Sheet2!$B:$B,Sheet2!G:G,0)</f>
        <v>268</v>
      </c>
      <c r="AC35" s="6">
        <f>_xlfn.XLOOKUP($A35,Sheet3!$B:$B,Sheet3!G:G,0)+_xlfn.XLOOKUP($A35,Sheet4!$B:$B,Sheet4!G:G,0)</f>
        <v>340</v>
      </c>
      <c r="AD35" s="6">
        <f>_xlfn.XLOOKUP($A35,Sheet5!$B:$B,Sheet5!G:G,0)+_xlfn.XLOOKUP($A35,Sheet6!$B:$B,Sheet6!G:G,0)</f>
        <v>369</v>
      </c>
      <c r="AE35" s="6">
        <f>_xlfn.XLOOKUP($A35,Sheet7!$B:$B,Sheet7!G:G,0)+_xlfn.XLOOKUP($A35,Sheet8!$B:$B,Sheet8!G:G,0)</f>
        <v>434</v>
      </c>
      <c r="AF35" s="6" cm="1">
        <f t="array" ref="AF35">SUM(IFERROR(AB35:AE35,0))</f>
        <v>1411</v>
      </c>
      <c r="AG35" s="6">
        <f t="shared" si="0"/>
        <v>32</v>
      </c>
    </row>
    <row r="36" spans="1:33" ht="15.6" x14ac:dyDescent="0.3">
      <c r="A36" s="6" t="s">
        <v>180</v>
      </c>
      <c r="B36" s="6" t="str">
        <f>_xlfn.XLOOKUP($A36,Sheet3!$B:$B,Sheet3!D:D)</f>
        <v>中山市中山纪念中学</v>
      </c>
      <c r="C36" s="7" t="str">
        <f>_xlfn.XLOOKUP($A36,Sheet3!$B:$B,Sheet3!E:E)</f>
        <v>杨佳熹</v>
      </c>
      <c r="D36" s="6">
        <f>_xlfn.XLOOKUP($A36,Sheet1!$B:$B,Sheet1!H:H)</f>
        <v>100</v>
      </c>
      <c r="E36" s="6">
        <f>_xlfn.XLOOKUP($A36,Sheet1!$B:$B,Sheet1!I:I)</f>
        <v>0</v>
      </c>
      <c r="F36" s="6">
        <f>_xlfn.XLOOKUP($A36,Sheet1!$B:$B,Sheet1!J:J)</f>
        <v>25</v>
      </c>
      <c r="G36" s="6">
        <f>_xlfn.XLOOKUP($A36,Sheet2!$B:$B,Sheet2!H:H)</f>
        <v>100</v>
      </c>
      <c r="H36" s="6">
        <f>_xlfn.XLOOKUP($A36,Sheet2!$B:$B,Sheet2!I:I)</f>
        <v>56</v>
      </c>
      <c r="I36" s="7">
        <f>_xlfn.XLOOKUP($A36,Sheet2!$B:$B,Sheet2!J:J)</f>
        <v>12</v>
      </c>
      <c r="J36" s="8">
        <f>_xlfn.XLOOKUP($A36,Sheet3!$B:$B,Sheet3!H:H)</f>
        <v>100</v>
      </c>
      <c r="K36" s="8">
        <f>_xlfn.XLOOKUP($A36,Sheet3!$B:$B,Sheet3!I:I)</f>
        <v>60</v>
      </c>
      <c r="L36" s="8">
        <f>_xlfn.XLOOKUP($A36,Sheet3!$B:$B,Sheet3!J:J)</f>
        <v>30</v>
      </c>
      <c r="M36" s="8">
        <f>_xlfn.XLOOKUP($A36,Sheet4!$B:$B,Sheet4!H:H)</f>
        <v>100</v>
      </c>
      <c r="N36" s="8">
        <f>_xlfn.XLOOKUP($A36,Sheet4!$B:$B,Sheet4!I:I)</f>
        <v>15</v>
      </c>
      <c r="O36" s="9">
        <f>_xlfn.XLOOKUP($A36,Sheet4!$B:$B,Sheet4!J:J)</f>
        <v>22</v>
      </c>
      <c r="P36" s="8">
        <f>_xlfn.XLOOKUP($A36,Sheet5!$B:$B,Sheet5!H:H)</f>
        <v>100</v>
      </c>
      <c r="Q36" s="8">
        <f>_xlfn.XLOOKUP($A36,Sheet5!$B:$B,Sheet5!I:I)</f>
        <v>32</v>
      </c>
      <c r="R36" s="8">
        <f>_xlfn.XLOOKUP($A36,Sheet5!$B:$B,Sheet5!J:J)</f>
        <v>30</v>
      </c>
      <c r="S36" s="8">
        <f>_xlfn.XLOOKUP($A36,Sheet6!$B:$B,Sheet6!H:H)</f>
        <v>100</v>
      </c>
      <c r="T36" s="8">
        <f>_xlfn.XLOOKUP($A36,Sheet6!$B:$B,Sheet6!I:I)</f>
        <v>60</v>
      </c>
      <c r="U36" s="9">
        <f>_xlfn.XLOOKUP($A36,Sheet6!$B:$B,Sheet6!J:J)</f>
        <v>100</v>
      </c>
      <c r="V36" s="8">
        <f>_xlfn.XLOOKUP($A36,Sheet7!$B:$B,Sheet7!H:H)</f>
        <v>100</v>
      </c>
      <c r="W36" s="8">
        <f>_xlfn.XLOOKUP($A36,Sheet7!$B:$B,Sheet7!I:I)</f>
        <v>90</v>
      </c>
      <c r="X36" s="8">
        <f>_xlfn.XLOOKUP($A36,Sheet7!$B:$B,Sheet7!J:J)</f>
        <v>41</v>
      </c>
      <c r="Y36" s="8">
        <f>_xlfn.XLOOKUP($A36,Sheet8!$B:$B,Sheet8!H:H)</f>
        <v>100</v>
      </c>
      <c r="Z36" s="8">
        <f>_xlfn.XLOOKUP($A36,Sheet8!$B:$B,Sheet8!I:I)</f>
        <v>0</v>
      </c>
      <c r="AA36" s="9">
        <f>_xlfn.XLOOKUP($A36,Sheet8!$B:$B,Sheet8!J:J)</f>
        <v>30</v>
      </c>
      <c r="AB36" s="6">
        <f>_xlfn.XLOOKUP($A36,Sheet1!$B:$B,Sheet1!G:G,0)+_xlfn.XLOOKUP($A36,Sheet2!$B:$B,Sheet2!G:G,0)</f>
        <v>293</v>
      </c>
      <c r="AC36" s="6">
        <f>_xlfn.XLOOKUP($A36,Sheet3!$B:$B,Sheet3!G:G,0)+_xlfn.XLOOKUP($A36,Sheet4!$B:$B,Sheet4!G:G,0)</f>
        <v>327</v>
      </c>
      <c r="AD36" s="6">
        <f>_xlfn.XLOOKUP($A36,Sheet5!$B:$B,Sheet5!G:G,0)+_xlfn.XLOOKUP($A36,Sheet6!$B:$B,Sheet6!G:G,0)</f>
        <v>422</v>
      </c>
      <c r="AE36" s="6">
        <f>_xlfn.XLOOKUP($A36,Sheet7!$B:$B,Sheet7!G:G,0)+_xlfn.XLOOKUP($A36,Sheet8!$B:$B,Sheet8!G:G,0)</f>
        <v>361</v>
      </c>
      <c r="AF36" s="6" cm="1">
        <f t="array" ref="AF36">SUM(IFERROR(AB36:AE36,0))</f>
        <v>1403</v>
      </c>
      <c r="AG36" s="6">
        <f t="shared" si="0"/>
        <v>33</v>
      </c>
    </row>
    <row r="37" spans="1:33" ht="15.6" x14ac:dyDescent="0.3">
      <c r="A37" s="6" t="s">
        <v>183</v>
      </c>
      <c r="B37" s="6" t="str">
        <f>_xlfn.XLOOKUP($A37,Sheet3!$B:$B,Sheet3!D:D)</f>
        <v>清远市广铁一中（万科城）外国语学校</v>
      </c>
      <c r="C37" s="7" t="str">
        <f>_xlfn.XLOOKUP($A37,Sheet3!$B:$B,Sheet3!E:E)</f>
        <v>何致远</v>
      </c>
      <c r="D37" s="6">
        <f>_xlfn.XLOOKUP($A37,Sheet1!$B:$B,Sheet1!H:H)</f>
        <v>100</v>
      </c>
      <c r="E37" s="6">
        <f>_xlfn.XLOOKUP($A37,Sheet1!$B:$B,Sheet1!I:I)</f>
        <v>0</v>
      </c>
      <c r="F37" s="6">
        <f>_xlfn.XLOOKUP($A37,Sheet1!$B:$B,Sheet1!J:J)</f>
        <v>25</v>
      </c>
      <c r="G37" s="6">
        <f>_xlfn.XLOOKUP($A37,Sheet2!$B:$B,Sheet2!H:H)</f>
        <v>100</v>
      </c>
      <c r="H37" s="6">
        <f>_xlfn.XLOOKUP($A37,Sheet2!$B:$B,Sheet2!I:I)</f>
        <v>56</v>
      </c>
      <c r="I37" s="7">
        <f>_xlfn.XLOOKUP($A37,Sheet2!$B:$B,Sheet2!J:J)</f>
        <v>12</v>
      </c>
      <c r="J37" s="8">
        <f>_xlfn.XLOOKUP($A37,Sheet3!$B:$B,Sheet3!H:H)</f>
        <v>100</v>
      </c>
      <c r="K37" s="8">
        <f>_xlfn.XLOOKUP($A37,Sheet3!$B:$B,Sheet3!I:I)</f>
        <v>100</v>
      </c>
      <c r="L37" s="8">
        <f>_xlfn.XLOOKUP($A37,Sheet3!$B:$B,Sheet3!J:J)</f>
        <v>50</v>
      </c>
      <c r="M37" s="8">
        <f>_xlfn.XLOOKUP($A37,Sheet4!$B:$B,Sheet4!H:H)</f>
        <v>100</v>
      </c>
      <c r="N37" s="8">
        <f>_xlfn.XLOOKUP($A37,Sheet4!$B:$B,Sheet4!I:I)</f>
        <v>10</v>
      </c>
      <c r="O37" s="9">
        <f>_xlfn.XLOOKUP($A37,Sheet4!$B:$B,Sheet4!J:J)</f>
        <v>0</v>
      </c>
      <c r="P37" s="8">
        <f>_xlfn.XLOOKUP($A37,Sheet5!$B:$B,Sheet5!H:H)</f>
        <v>100</v>
      </c>
      <c r="Q37" s="8">
        <f>_xlfn.XLOOKUP($A37,Sheet5!$B:$B,Sheet5!I:I)</f>
        <v>80</v>
      </c>
      <c r="R37" s="8">
        <f>_xlfn.XLOOKUP($A37,Sheet5!$B:$B,Sheet5!J:J)</f>
        <v>0</v>
      </c>
      <c r="S37" s="8">
        <f>_xlfn.XLOOKUP($A37,Sheet6!$B:$B,Sheet6!H:H)</f>
        <v>100</v>
      </c>
      <c r="T37" s="8">
        <f>_xlfn.XLOOKUP($A37,Sheet6!$B:$B,Sheet6!I:I)</f>
        <v>100</v>
      </c>
      <c r="U37" s="9">
        <f>_xlfn.XLOOKUP($A37,Sheet6!$B:$B,Sheet6!J:J)</f>
        <v>100</v>
      </c>
      <c r="V37" s="8">
        <f>_xlfn.XLOOKUP($A37,Sheet7!$B:$B,Sheet7!H:H)</f>
        <v>100</v>
      </c>
      <c r="W37" s="8">
        <f>_xlfn.XLOOKUP($A37,Sheet7!$B:$B,Sheet7!I:I)</f>
        <v>20</v>
      </c>
      <c r="X37" s="8">
        <f>_xlfn.XLOOKUP($A37,Sheet7!$B:$B,Sheet7!J:J)</f>
        <v>42</v>
      </c>
      <c r="Y37" s="8">
        <f>_xlfn.XLOOKUP($A37,Sheet8!$B:$B,Sheet8!H:H)</f>
        <v>100</v>
      </c>
      <c r="Z37" s="8">
        <f>_xlfn.XLOOKUP($A37,Sheet8!$B:$B,Sheet8!I:I)</f>
        <v>0</v>
      </c>
      <c r="AA37" s="9">
        <f>_xlfn.XLOOKUP($A37,Sheet8!$B:$B,Sheet8!J:J)</f>
        <v>0</v>
      </c>
      <c r="AB37" s="6">
        <f>_xlfn.XLOOKUP($A37,Sheet1!$B:$B,Sheet1!G:G,0)+_xlfn.XLOOKUP($A37,Sheet2!$B:$B,Sheet2!G:G,0)</f>
        <v>293</v>
      </c>
      <c r="AC37" s="6">
        <f>_xlfn.XLOOKUP($A37,Sheet3!$B:$B,Sheet3!G:G,0)+_xlfn.XLOOKUP($A37,Sheet4!$B:$B,Sheet4!G:G,0)</f>
        <v>360</v>
      </c>
      <c r="AD37" s="6">
        <f>_xlfn.XLOOKUP($A37,Sheet5!$B:$B,Sheet5!G:G,0)+_xlfn.XLOOKUP($A37,Sheet6!$B:$B,Sheet6!G:G,0)</f>
        <v>480</v>
      </c>
      <c r="AE37" s="6">
        <f>_xlfn.XLOOKUP($A37,Sheet7!$B:$B,Sheet7!G:G,0)+_xlfn.XLOOKUP($A37,Sheet8!$B:$B,Sheet8!G:G,0)</f>
        <v>262</v>
      </c>
      <c r="AF37" s="6" cm="1">
        <f t="array" ref="AF37">SUM(IFERROR(AB37:AE37,0))</f>
        <v>1395</v>
      </c>
      <c r="AG37" s="6">
        <f t="shared" si="0"/>
        <v>34</v>
      </c>
    </row>
    <row r="38" spans="1:33" ht="15.6" x14ac:dyDescent="0.3">
      <c r="A38" s="6" t="s">
        <v>243</v>
      </c>
      <c r="B38" s="6" t="str">
        <f>_xlfn.XLOOKUP($A38,Sheet3!$B:$B,Sheet3!D:D)</f>
        <v>广东实验中学</v>
      </c>
      <c r="C38" s="7" t="str">
        <f>_xlfn.XLOOKUP($A38,Sheet3!$B:$B,Sheet3!E:E)</f>
        <v>苏昱霖</v>
      </c>
      <c r="D38" s="6">
        <f>_xlfn.XLOOKUP($A38,Sheet1!$B:$B,Sheet1!H:H)</f>
        <v>100</v>
      </c>
      <c r="E38" s="6">
        <f>_xlfn.XLOOKUP($A38,Sheet1!$B:$B,Sheet1!I:I)</f>
        <v>0</v>
      </c>
      <c r="F38" s="6">
        <f>_xlfn.XLOOKUP($A38,Sheet1!$B:$B,Sheet1!J:J)</f>
        <v>0</v>
      </c>
      <c r="G38" s="6">
        <f>_xlfn.XLOOKUP($A38,Sheet2!$B:$B,Sheet2!H:H)</f>
        <v>100</v>
      </c>
      <c r="H38" s="6">
        <f>_xlfn.XLOOKUP($A38,Sheet2!$B:$B,Sheet2!I:I)</f>
        <v>20</v>
      </c>
      <c r="I38" s="7">
        <f>_xlfn.XLOOKUP($A38,Sheet2!$B:$B,Sheet2!J:J)</f>
        <v>58</v>
      </c>
      <c r="J38" s="8">
        <f>_xlfn.XLOOKUP($A38,Sheet3!$B:$B,Sheet3!H:H)</f>
        <v>100</v>
      </c>
      <c r="K38" s="8">
        <f>_xlfn.XLOOKUP($A38,Sheet3!$B:$B,Sheet3!I:I)</f>
        <v>100</v>
      </c>
      <c r="L38" s="8">
        <f>_xlfn.XLOOKUP($A38,Sheet3!$B:$B,Sheet3!J:J)</f>
        <v>40</v>
      </c>
      <c r="M38" s="8">
        <f>_xlfn.XLOOKUP($A38,Sheet4!$B:$B,Sheet4!H:H)</f>
        <v>100</v>
      </c>
      <c r="N38" s="8">
        <f>_xlfn.XLOOKUP($A38,Sheet4!$B:$B,Sheet4!I:I)</f>
        <v>100</v>
      </c>
      <c r="O38" s="9">
        <f>_xlfn.XLOOKUP($A38,Sheet4!$B:$B,Sheet4!J:J)</f>
        <v>5</v>
      </c>
      <c r="P38" s="8">
        <f>_xlfn.XLOOKUP($A38,Sheet5!$B:$B,Sheet5!H:H)</f>
        <v>100</v>
      </c>
      <c r="Q38" s="8">
        <f>_xlfn.XLOOKUP($A38,Sheet5!$B:$B,Sheet5!I:I)</f>
        <v>32</v>
      </c>
      <c r="R38" s="8">
        <f>_xlfn.XLOOKUP($A38,Sheet5!$B:$B,Sheet5!J:J)</f>
        <v>0</v>
      </c>
      <c r="S38" s="8">
        <f>_xlfn.XLOOKUP($A38,Sheet6!$B:$B,Sheet6!H:H)</f>
        <v>100</v>
      </c>
      <c r="T38" s="8">
        <f>_xlfn.XLOOKUP($A38,Sheet6!$B:$B,Sheet6!I:I)</f>
        <v>100</v>
      </c>
      <c r="U38" s="9">
        <f>_xlfn.XLOOKUP($A38,Sheet6!$B:$B,Sheet6!J:J)</f>
        <v>60</v>
      </c>
      <c r="V38" s="8">
        <f>_xlfn.XLOOKUP($A38,Sheet7!$B:$B,Sheet7!H:H)</f>
        <v>100</v>
      </c>
      <c r="W38" s="8">
        <f>_xlfn.XLOOKUP($A38,Sheet7!$B:$B,Sheet7!I:I)</f>
        <v>50</v>
      </c>
      <c r="X38" s="8">
        <f>_xlfn.XLOOKUP($A38,Sheet7!$B:$B,Sheet7!J:J)</f>
        <v>0</v>
      </c>
      <c r="Y38" s="8">
        <f>_xlfn.XLOOKUP($A38,Sheet8!$B:$B,Sheet8!H:H)</f>
        <v>100</v>
      </c>
      <c r="Z38" s="8">
        <f>_xlfn.XLOOKUP($A38,Sheet8!$B:$B,Sheet8!I:I)</f>
        <v>0</v>
      </c>
      <c r="AA38" s="9">
        <f>_xlfn.XLOOKUP($A38,Sheet8!$B:$B,Sheet8!J:J)</f>
        <v>0</v>
      </c>
      <c r="AB38" s="6">
        <f>_xlfn.XLOOKUP($A38,Sheet1!$B:$B,Sheet1!G:G,0)+_xlfn.XLOOKUP($A38,Sheet2!$B:$B,Sheet2!G:G,0)</f>
        <v>278</v>
      </c>
      <c r="AC38" s="6">
        <f>_xlfn.XLOOKUP($A38,Sheet3!$B:$B,Sheet3!G:G,0)+_xlfn.XLOOKUP($A38,Sheet4!$B:$B,Sheet4!G:G,0)</f>
        <v>445</v>
      </c>
      <c r="AD38" s="6">
        <f>_xlfn.XLOOKUP($A38,Sheet5!$B:$B,Sheet5!G:G,0)+_xlfn.XLOOKUP($A38,Sheet6!$B:$B,Sheet6!G:G,0)</f>
        <v>392</v>
      </c>
      <c r="AE38" s="6">
        <f>_xlfn.XLOOKUP($A38,Sheet7!$B:$B,Sheet7!G:G,0)+_xlfn.XLOOKUP($A38,Sheet8!$B:$B,Sheet8!G:G,0)</f>
        <v>250</v>
      </c>
      <c r="AF38" s="6" cm="1">
        <f t="array" ref="AF38">SUM(IFERROR(AB38:AE38,0))</f>
        <v>1365</v>
      </c>
      <c r="AG38" s="6">
        <f t="shared" si="0"/>
        <v>35</v>
      </c>
    </row>
    <row r="39" spans="1:33" ht="15.6" x14ac:dyDescent="0.3">
      <c r="A39" s="6" t="s">
        <v>30</v>
      </c>
      <c r="B39" s="6" t="str">
        <f>_xlfn.XLOOKUP($A39,Sheet3!$B:$B,Sheet3!D:D)</f>
        <v>杭州市第二中学</v>
      </c>
      <c r="C39" s="7" t="str">
        <f>_xlfn.XLOOKUP($A39,Sheet3!$B:$B,Sheet3!E:E)</f>
        <v>郭音赫</v>
      </c>
      <c r="D39" s="6">
        <f>_xlfn.XLOOKUP($A39,Sheet1!$B:$B,Sheet1!H:H)</f>
        <v>100</v>
      </c>
      <c r="E39" s="6">
        <f>_xlfn.XLOOKUP($A39,Sheet1!$B:$B,Sheet1!I:I)</f>
        <v>100</v>
      </c>
      <c r="F39" s="6">
        <f>_xlfn.XLOOKUP($A39,Sheet1!$B:$B,Sheet1!J:J)</f>
        <v>25</v>
      </c>
      <c r="G39" s="6">
        <f>_xlfn.XLOOKUP($A39,Sheet2!$B:$B,Sheet2!H:H)</f>
        <v>100</v>
      </c>
      <c r="H39" s="6">
        <f>_xlfn.XLOOKUP($A39,Sheet2!$B:$B,Sheet2!I:I)</f>
        <v>100</v>
      </c>
      <c r="I39" s="7">
        <f>_xlfn.XLOOKUP($A39,Sheet2!$B:$B,Sheet2!J:J)</f>
        <v>15</v>
      </c>
      <c r="J39" s="8">
        <f>_xlfn.XLOOKUP($A39,Sheet3!$B:$B,Sheet3!H:H)</f>
        <v>100</v>
      </c>
      <c r="K39" s="8">
        <f>_xlfn.XLOOKUP($A39,Sheet3!$B:$B,Sheet3!I:I)</f>
        <v>100</v>
      </c>
      <c r="L39" s="8">
        <f>_xlfn.XLOOKUP($A39,Sheet3!$B:$B,Sheet3!J:J)</f>
        <v>50</v>
      </c>
      <c r="M39" s="8">
        <f>_xlfn.XLOOKUP($A39,Sheet4!$B:$B,Sheet4!H:H)</f>
        <v>100</v>
      </c>
      <c r="N39" s="8">
        <f>_xlfn.XLOOKUP($A39,Sheet4!$B:$B,Sheet4!I:I)</f>
        <v>11</v>
      </c>
      <c r="O39" s="9">
        <f>_xlfn.XLOOKUP($A39,Sheet4!$B:$B,Sheet4!J:J)</f>
        <v>22</v>
      </c>
      <c r="P39" s="8">
        <f>_xlfn.XLOOKUP($A39,Sheet5!$B:$B,Sheet5!H:H)</f>
        <v>100</v>
      </c>
      <c r="Q39" s="8">
        <f>_xlfn.XLOOKUP($A39,Sheet5!$B:$B,Sheet5!I:I)</f>
        <v>99</v>
      </c>
      <c r="R39" s="8">
        <f>_xlfn.XLOOKUP($A39,Sheet5!$B:$B,Sheet5!J:J)</f>
        <v>0</v>
      </c>
      <c r="S39" s="8">
        <f>_xlfn.XLOOKUP($A39,Sheet6!$B:$B,Sheet6!H:H)</f>
        <v>0</v>
      </c>
      <c r="T39" s="8">
        <f>_xlfn.XLOOKUP($A39,Sheet6!$B:$B,Sheet6!I:I)</f>
        <v>0</v>
      </c>
      <c r="U39" s="9">
        <f>_xlfn.XLOOKUP($A39,Sheet6!$B:$B,Sheet6!J:J)</f>
        <v>0</v>
      </c>
      <c r="V39" s="8">
        <f>_xlfn.XLOOKUP($A39,Sheet7!$B:$B,Sheet7!H:H)</f>
        <v>100</v>
      </c>
      <c r="W39" s="8">
        <f>_xlfn.XLOOKUP($A39,Sheet7!$B:$B,Sheet7!I:I)</f>
        <v>90</v>
      </c>
      <c r="X39" s="8">
        <f>_xlfn.XLOOKUP($A39,Sheet7!$B:$B,Sheet7!J:J)</f>
        <v>42</v>
      </c>
      <c r="Y39" s="8">
        <f>_xlfn.XLOOKUP($A39,Sheet8!$B:$B,Sheet8!H:H)</f>
        <v>100</v>
      </c>
      <c r="Z39" s="8">
        <f>_xlfn.XLOOKUP($A39,Sheet8!$B:$B,Sheet8!I:I)</f>
        <v>0</v>
      </c>
      <c r="AA39" s="9">
        <f>_xlfn.XLOOKUP($A39,Sheet8!$B:$B,Sheet8!J:J)</f>
        <v>0</v>
      </c>
      <c r="AB39" s="6">
        <f>_xlfn.XLOOKUP($A39,Sheet1!$B:$B,Sheet1!G:G,0)+_xlfn.XLOOKUP($A39,Sheet2!$B:$B,Sheet2!G:G,0)</f>
        <v>440</v>
      </c>
      <c r="AC39" s="6">
        <f>_xlfn.XLOOKUP($A39,Sheet3!$B:$B,Sheet3!G:G,0)+_xlfn.XLOOKUP($A39,Sheet4!$B:$B,Sheet4!G:G,0)</f>
        <v>383</v>
      </c>
      <c r="AD39" s="6">
        <f>_xlfn.XLOOKUP($A39,Sheet5!$B:$B,Sheet5!G:G,0)+_xlfn.XLOOKUP($A39,Sheet6!$B:$B,Sheet6!G:G,0)</f>
        <v>199</v>
      </c>
      <c r="AE39" s="6">
        <f>_xlfn.XLOOKUP($A39,Sheet7!$B:$B,Sheet7!G:G,0)+_xlfn.XLOOKUP($A39,Sheet8!$B:$B,Sheet8!G:G,0)</f>
        <v>332</v>
      </c>
      <c r="AF39" s="6" cm="1">
        <f t="array" ref="AF39">SUM(IFERROR(AB39:AE39,0))</f>
        <v>1354</v>
      </c>
      <c r="AG39" s="6">
        <f t="shared" si="0"/>
        <v>36</v>
      </c>
    </row>
    <row r="40" spans="1:33" ht="15.6" x14ac:dyDescent="0.3">
      <c r="A40" s="6" t="s">
        <v>26</v>
      </c>
      <c r="B40" s="6" t="str">
        <f>_xlfn.XLOOKUP($A40,Sheet3!$B:$B,Sheet3!D:D)</f>
        <v>北京大学附属中学</v>
      </c>
      <c r="C40" s="7" t="str">
        <f>_xlfn.XLOOKUP($A40,Sheet3!$B:$B,Sheet3!E:E)</f>
        <v>陈一苇</v>
      </c>
      <c r="D40" s="6">
        <f>_xlfn.XLOOKUP($A40,Sheet1!$B:$B,Sheet1!H:H)</f>
        <v>100</v>
      </c>
      <c r="E40" s="6">
        <f>_xlfn.XLOOKUP($A40,Sheet1!$B:$B,Sheet1!I:I)</f>
        <v>100</v>
      </c>
      <c r="F40" s="6">
        <f>_xlfn.XLOOKUP($A40,Sheet1!$B:$B,Sheet1!J:J)</f>
        <v>25</v>
      </c>
      <c r="G40" s="6">
        <f>_xlfn.XLOOKUP($A40,Sheet2!$B:$B,Sheet2!H:H)</f>
        <v>100</v>
      </c>
      <c r="H40" s="6">
        <f>_xlfn.XLOOKUP($A40,Sheet2!$B:$B,Sheet2!I:I)</f>
        <v>56</v>
      </c>
      <c r="I40" s="7">
        <f>_xlfn.XLOOKUP($A40,Sheet2!$B:$B,Sheet2!J:J)</f>
        <v>25</v>
      </c>
      <c r="J40" s="8">
        <f>_xlfn.XLOOKUP($A40,Sheet3!$B:$B,Sheet3!H:H)</f>
        <v>100</v>
      </c>
      <c r="K40" s="8">
        <f>_xlfn.XLOOKUP($A40,Sheet3!$B:$B,Sheet3!I:I)</f>
        <v>40</v>
      </c>
      <c r="L40" s="8">
        <f>_xlfn.XLOOKUP($A40,Sheet3!$B:$B,Sheet3!J:J)</f>
        <v>40</v>
      </c>
      <c r="M40" s="8">
        <f>_xlfn.XLOOKUP($A40,Sheet4!$B:$B,Sheet4!H:H)</f>
        <v>100</v>
      </c>
      <c r="N40" s="8">
        <f>_xlfn.XLOOKUP($A40,Sheet4!$B:$B,Sheet4!I:I)</f>
        <v>10</v>
      </c>
      <c r="O40" s="9">
        <f>_xlfn.XLOOKUP($A40,Sheet4!$B:$B,Sheet4!J:J)</f>
        <v>22</v>
      </c>
      <c r="P40" s="8">
        <f>_xlfn.XLOOKUP($A40,Sheet5!$B:$B,Sheet5!H:H)</f>
        <v>100</v>
      </c>
      <c r="Q40" s="8">
        <f>_xlfn.XLOOKUP($A40,Sheet5!$B:$B,Sheet5!I:I)</f>
        <v>32</v>
      </c>
      <c r="R40" s="8">
        <f>_xlfn.XLOOKUP($A40,Sheet5!$B:$B,Sheet5!J:J)</f>
        <v>20</v>
      </c>
      <c r="S40" s="8">
        <f>_xlfn.XLOOKUP($A40,Sheet6!$B:$B,Sheet6!H:H)</f>
        <v>100</v>
      </c>
      <c r="T40" s="8">
        <f>_xlfn.XLOOKUP($A40,Sheet6!$B:$B,Sheet6!I:I)</f>
        <v>36</v>
      </c>
      <c r="U40" s="9">
        <f>_xlfn.XLOOKUP($A40,Sheet6!$B:$B,Sheet6!J:J)</f>
        <v>24</v>
      </c>
      <c r="V40" s="8">
        <f>_xlfn.XLOOKUP($A40,Sheet7!$B:$B,Sheet7!H:H)</f>
        <v>100</v>
      </c>
      <c r="W40" s="8">
        <f>_xlfn.XLOOKUP($A40,Sheet7!$B:$B,Sheet7!I:I)</f>
        <v>100</v>
      </c>
      <c r="X40" s="8">
        <f>_xlfn.XLOOKUP($A40,Sheet7!$B:$B,Sheet7!J:J)</f>
        <v>14</v>
      </c>
      <c r="Y40" s="8">
        <f>_xlfn.XLOOKUP($A40,Sheet8!$B:$B,Sheet8!H:H)</f>
        <v>100</v>
      </c>
      <c r="Z40" s="8">
        <f>_xlfn.XLOOKUP($A40,Sheet8!$B:$B,Sheet8!I:I)</f>
        <v>0</v>
      </c>
      <c r="AA40" s="9">
        <f>_xlfn.XLOOKUP($A40,Sheet8!$B:$B,Sheet8!J:J)</f>
        <v>10</v>
      </c>
      <c r="AB40" s="6">
        <f>_xlfn.XLOOKUP($A40,Sheet1!$B:$B,Sheet1!G:G,0)+_xlfn.XLOOKUP($A40,Sheet2!$B:$B,Sheet2!G:G,0)</f>
        <v>406</v>
      </c>
      <c r="AC40" s="6">
        <f>_xlfn.XLOOKUP($A40,Sheet3!$B:$B,Sheet3!G:G,0)+_xlfn.XLOOKUP($A40,Sheet4!$B:$B,Sheet4!G:G,0)</f>
        <v>312</v>
      </c>
      <c r="AD40" s="6">
        <f>_xlfn.XLOOKUP($A40,Sheet5!$B:$B,Sheet5!G:G,0)+_xlfn.XLOOKUP($A40,Sheet6!$B:$B,Sheet6!G:G,0)</f>
        <v>312</v>
      </c>
      <c r="AE40" s="6">
        <f>_xlfn.XLOOKUP($A40,Sheet7!$B:$B,Sheet7!G:G,0)+_xlfn.XLOOKUP($A40,Sheet8!$B:$B,Sheet8!G:G,0)</f>
        <v>324</v>
      </c>
      <c r="AF40" s="6" cm="1">
        <f t="array" ref="AF40">SUM(IFERROR(AB40:AE40,0))</f>
        <v>1354</v>
      </c>
      <c r="AG40" s="6">
        <f t="shared" si="0"/>
        <v>36</v>
      </c>
    </row>
    <row r="41" spans="1:33" ht="15.6" x14ac:dyDescent="0.3">
      <c r="A41" s="6" t="s">
        <v>145</v>
      </c>
      <c r="B41" s="6" t="str">
        <f>_xlfn.XLOOKUP($A41,Sheet3!$B:$B,Sheet3!D:D)</f>
        <v>长沙市第一中学</v>
      </c>
      <c r="C41" s="7" t="str">
        <f>_xlfn.XLOOKUP($A41,Sheet3!$B:$B,Sheet3!E:E)</f>
        <v>史振烨</v>
      </c>
      <c r="D41" s="6">
        <f>_xlfn.XLOOKUP($A41,Sheet1!$B:$B,Sheet1!H:H)</f>
        <v>100</v>
      </c>
      <c r="E41" s="6">
        <f>_xlfn.XLOOKUP($A41,Sheet1!$B:$B,Sheet1!I:I)</f>
        <v>42</v>
      </c>
      <c r="F41" s="6">
        <f>_xlfn.XLOOKUP($A41,Sheet1!$B:$B,Sheet1!J:J)</f>
        <v>0</v>
      </c>
      <c r="G41" s="6">
        <f>_xlfn.XLOOKUP($A41,Sheet2!$B:$B,Sheet2!H:H)</f>
        <v>100</v>
      </c>
      <c r="H41" s="6">
        <f>_xlfn.XLOOKUP($A41,Sheet2!$B:$B,Sheet2!I:I)</f>
        <v>20</v>
      </c>
      <c r="I41" s="7">
        <f>_xlfn.XLOOKUP($A41,Sheet2!$B:$B,Sheet2!J:J)</f>
        <v>0</v>
      </c>
      <c r="J41" s="8">
        <f>_xlfn.XLOOKUP($A41,Sheet3!$B:$B,Sheet3!H:H)</f>
        <v>84</v>
      </c>
      <c r="K41" s="8">
        <f>_xlfn.XLOOKUP($A41,Sheet3!$B:$B,Sheet3!I:I)</f>
        <v>100</v>
      </c>
      <c r="L41" s="8">
        <f>_xlfn.XLOOKUP($A41,Sheet3!$B:$B,Sheet3!J:J)</f>
        <v>30</v>
      </c>
      <c r="M41" s="8">
        <f>_xlfn.XLOOKUP($A41,Sheet4!$B:$B,Sheet4!H:H)</f>
        <v>100</v>
      </c>
      <c r="N41" s="8">
        <f>_xlfn.XLOOKUP($A41,Sheet4!$B:$B,Sheet4!I:I)</f>
        <v>100</v>
      </c>
      <c r="O41" s="9">
        <f>_xlfn.XLOOKUP($A41,Sheet4!$B:$B,Sheet4!J:J)</f>
        <v>0</v>
      </c>
      <c r="P41" s="8">
        <f>_xlfn.XLOOKUP($A41,Sheet5!$B:$B,Sheet5!H:H)</f>
        <v>100</v>
      </c>
      <c r="Q41" s="8">
        <f>_xlfn.XLOOKUP($A41,Sheet5!$B:$B,Sheet5!I:I)</f>
        <v>32</v>
      </c>
      <c r="R41" s="8">
        <f>_xlfn.XLOOKUP($A41,Sheet5!$B:$B,Sheet5!J:J)</f>
        <v>0</v>
      </c>
      <c r="S41" s="8">
        <f>_xlfn.XLOOKUP($A41,Sheet6!$B:$B,Sheet6!H:H)</f>
        <v>100</v>
      </c>
      <c r="T41" s="8">
        <f>_xlfn.XLOOKUP($A41,Sheet6!$B:$B,Sheet6!I:I)</f>
        <v>100</v>
      </c>
      <c r="U41" s="9">
        <f>_xlfn.XLOOKUP($A41,Sheet6!$B:$B,Sheet6!J:J)</f>
        <v>100</v>
      </c>
      <c r="V41" s="8">
        <f>_xlfn.XLOOKUP($A41,Sheet7!$B:$B,Sheet7!H:H)</f>
        <v>100</v>
      </c>
      <c r="W41" s="8">
        <f>_xlfn.XLOOKUP($A41,Sheet7!$B:$B,Sheet7!I:I)</f>
        <v>40</v>
      </c>
      <c r="X41" s="8">
        <f>_xlfn.XLOOKUP($A41,Sheet7!$B:$B,Sheet7!J:J)</f>
        <v>0</v>
      </c>
      <c r="Y41" s="8">
        <f>_xlfn.XLOOKUP($A41,Sheet8!$B:$B,Sheet8!H:H)</f>
        <v>90</v>
      </c>
      <c r="Z41" s="8">
        <f>_xlfn.XLOOKUP($A41,Sheet8!$B:$B,Sheet8!I:I)</f>
        <v>0</v>
      </c>
      <c r="AA41" s="9">
        <f>_xlfn.XLOOKUP($A41,Sheet8!$B:$B,Sheet8!J:J)</f>
        <v>0</v>
      </c>
      <c r="AB41" s="6">
        <f>_xlfn.XLOOKUP($A41,Sheet1!$B:$B,Sheet1!G:G,0)+_xlfn.XLOOKUP($A41,Sheet2!$B:$B,Sheet2!G:G,0)</f>
        <v>262</v>
      </c>
      <c r="AC41" s="6">
        <f>_xlfn.XLOOKUP($A41,Sheet3!$B:$B,Sheet3!G:G,0)+_xlfn.XLOOKUP($A41,Sheet4!$B:$B,Sheet4!G:G,0)</f>
        <v>414</v>
      </c>
      <c r="AD41" s="6">
        <f>_xlfn.XLOOKUP($A41,Sheet5!$B:$B,Sheet5!G:G,0)+_xlfn.XLOOKUP($A41,Sheet6!$B:$B,Sheet6!G:G,0)</f>
        <v>432</v>
      </c>
      <c r="AE41" s="6">
        <f>_xlfn.XLOOKUP($A41,Sheet7!$B:$B,Sheet7!G:G,0)+_xlfn.XLOOKUP($A41,Sheet8!$B:$B,Sheet8!G:G,0)</f>
        <v>230</v>
      </c>
      <c r="AF41" s="6" cm="1">
        <f t="array" ref="AF41">SUM(IFERROR(AB41:AE41,0))</f>
        <v>1338</v>
      </c>
      <c r="AG41" s="6">
        <f t="shared" si="0"/>
        <v>38</v>
      </c>
    </row>
    <row r="42" spans="1:33" ht="15.6" x14ac:dyDescent="0.3">
      <c r="A42" s="6" t="s">
        <v>87</v>
      </c>
      <c r="B42" s="6" t="str">
        <f>_xlfn.XLOOKUP($A42,Sheet3!$B:$B,Sheet3!D:D)</f>
        <v>深圳中学</v>
      </c>
      <c r="C42" s="7" t="str">
        <f>_xlfn.XLOOKUP($A42,Sheet3!$B:$B,Sheet3!E:E)</f>
        <v>朱瀚阳</v>
      </c>
      <c r="D42" s="6">
        <f>_xlfn.XLOOKUP($A42,Sheet1!$B:$B,Sheet1!H:H)</f>
        <v>100</v>
      </c>
      <c r="E42" s="6">
        <f>_xlfn.XLOOKUP($A42,Sheet1!$B:$B,Sheet1!I:I)</f>
        <v>66</v>
      </c>
      <c r="F42" s="6">
        <f>_xlfn.XLOOKUP($A42,Sheet1!$B:$B,Sheet1!J:J)</f>
        <v>0</v>
      </c>
      <c r="G42" s="6">
        <f>_xlfn.XLOOKUP($A42,Sheet2!$B:$B,Sheet2!H:H)</f>
        <v>100</v>
      </c>
      <c r="H42" s="6">
        <f>_xlfn.XLOOKUP($A42,Sheet2!$B:$B,Sheet2!I:I)</f>
        <v>56</v>
      </c>
      <c r="I42" s="7">
        <f>_xlfn.XLOOKUP($A42,Sheet2!$B:$B,Sheet2!J:J)</f>
        <v>12</v>
      </c>
      <c r="J42" s="8">
        <f>_xlfn.XLOOKUP($A42,Sheet3!$B:$B,Sheet3!H:H)</f>
        <v>100</v>
      </c>
      <c r="K42" s="8">
        <f>_xlfn.XLOOKUP($A42,Sheet3!$B:$B,Sheet3!I:I)</f>
        <v>100</v>
      </c>
      <c r="L42" s="8">
        <f>_xlfn.XLOOKUP($A42,Sheet3!$B:$B,Sheet3!J:J)</f>
        <v>40</v>
      </c>
      <c r="M42" s="8">
        <f>_xlfn.XLOOKUP($A42,Sheet4!$B:$B,Sheet4!H:H)</f>
        <v>100</v>
      </c>
      <c r="N42" s="8">
        <f>_xlfn.XLOOKUP($A42,Sheet4!$B:$B,Sheet4!I:I)</f>
        <v>11</v>
      </c>
      <c r="O42" s="9">
        <f>_xlfn.XLOOKUP($A42,Sheet4!$B:$B,Sheet4!J:J)</f>
        <v>5</v>
      </c>
      <c r="P42" s="8">
        <f>_xlfn.XLOOKUP($A42,Sheet5!$B:$B,Sheet5!H:H)</f>
        <v>100</v>
      </c>
      <c r="Q42" s="8">
        <f>_xlfn.XLOOKUP($A42,Sheet5!$B:$B,Sheet5!I:I)</f>
        <v>0</v>
      </c>
      <c r="R42" s="8">
        <f>_xlfn.XLOOKUP($A42,Sheet5!$B:$B,Sheet5!J:J)</f>
        <v>0</v>
      </c>
      <c r="S42" s="8">
        <f>_xlfn.XLOOKUP($A42,Sheet6!$B:$B,Sheet6!H:H)</f>
        <v>100</v>
      </c>
      <c r="T42" s="8">
        <f>_xlfn.XLOOKUP($A42,Sheet6!$B:$B,Sheet6!I:I)</f>
        <v>100</v>
      </c>
      <c r="U42" s="9">
        <f>_xlfn.XLOOKUP($A42,Sheet6!$B:$B,Sheet6!J:J)</f>
        <v>24</v>
      </c>
      <c r="V42" s="8">
        <f>_xlfn.XLOOKUP($A42,Sheet7!$B:$B,Sheet7!H:H)</f>
        <v>100</v>
      </c>
      <c r="W42" s="8">
        <f>_xlfn.XLOOKUP($A42,Sheet7!$B:$B,Sheet7!I:I)</f>
        <v>10</v>
      </c>
      <c r="X42" s="8">
        <f>_xlfn.XLOOKUP($A42,Sheet7!$B:$B,Sheet7!J:J)</f>
        <v>14</v>
      </c>
      <c r="Y42" s="8">
        <f>_xlfn.XLOOKUP($A42,Sheet8!$B:$B,Sheet8!H:H)</f>
        <v>100</v>
      </c>
      <c r="Z42" s="8">
        <f>_xlfn.XLOOKUP($A42,Sheet8!$B:$B,Sheet8!I:I)</f>
        <v>65</v>
      </c>
      <c r="AA42" s="9">
        <f>_xlfn.XLOOKUP($A42,Sheet8!$B:$B,Sheet8!J:J)</f>
        <v>0</v>
      </c>
      <c r="AB42" s="6">
        <f>_xlfn.XLOOKUP($A42,Sheet1!$B:$B,Sheet1!G:G,0)+_xlfn.XLOOKUP($A42,Sheet2!$B:$B,Sheet2!G:G,0)</f>
        <v>334</v>
      </c>
      <c r="AC42" s="6">
        <f>_xlfn.XLOOKUP($A42,Sheet3!$B:$B,Sheet3!G:G,0)+_xlfn.XLOOKUP($A42,Sheet4!$B:$B,Sheet4!G:G,0)</f>
        <v>356</v>
      </c>
      <c r="AD42" s="6">
        <f>_xlfn.XLOOKUP($A42,Sheet5!$B:$B,Sheet5!G:G,0)+_xlfn.XLOOKUP($A42,Sheet6!$B:$B,Sheet6!G:G,0)</f>
        <v>324</v>
      </c>
      <c r="AE42" s="6">
        <f>_xlfn.XLOOKUP($A42,Sheet7!$B:$B,Sheet7!G:G,0)+_xlfn.XLOOKUP($A42,Sheet8!$B:$B,Sheet8!G:G,0)</f>
        <v>289</v>
      </c>
      <c r="AF42" s="6" cm="1">
        <f t="array" ref="AF42">SUM(IFERROR(AB42:AE42,0))</f>
        <v>1303</v>
      </c>
      <c r="AG42" s="6">
        <f t="shared" si="0"/>
        <v>39</v>
      </c>
    </row>
    <row r="43" spans="1:33" ht="15.6" x14ac:dyDescent="0.3">
      <c r="A43" s="6" t="s">
        <v>18</v>
      </c>
      <c r="B43" s="6" t="str">
        <f>_xlfn.XLOOKUP($A43,Sheet3!$B:$B,Sheet3!D:D)</f>
        <v>杭州市第二中学</v>
      </c>
      <c r="C43" s="7" t="str">
        <f>_xlfn.XLOOKUP($A43,Sheet3!$B:$B,Sheet3!E:E)</f>
        <v>郑乐章</v>
      </c>
      <c r="D43" s="6">
        <f>_xlfn.XLOOKUP($A43,Sheet1!$B:$B,Sheet1!H:H)</f>
        <v>100</v>
      </c>
      <c r="E43" s="6">
        <f>_xlfn.XLOOKUP($A43,Sheet1!$B:$B,Sheet1!I:I)</f>
        <v>100</v>
      </c>
      <c r="F43" s="6">
        <f>_xlfn.XLOOKUP($A43,Sheet1!$B:$B,Sheet1!J:J)</f>
        <v>25</v>
      </c>
      <c r="G43" s="6">
        <f>_xlfn.XLOOKUP($A43,Sheet2!$B:$B,Sheet2!H:H)</f>
        <v>100</v>
      </c>
      <c r="H43" s="6">
        <f>_xlfn.XLOOKUP($A43,Sheet2!$B:$B,Sheet2!I:I)</f>
        <v>32</v>
      </c>
      <c r="I43" s="7">
        <f>_xlfn.XLOOKUP($A43,Sheet2!$B:$B,Sheet2!J:J)</f>
        <v>25</v>
      </c>
      <c r="J43" s="8">
        <f>_xlfn.XLOOKUP($A43,Sheet3!$B:$B,Sheet3!H:H)</f>
        <v>85</v>
      </c>
      <c r="K43" s="8">
        <f>_xlfn.XLOOKUP($A43,Sheet3!$B:$B,Sheet3!I:I)</f>
        <v>40</v>
      </c>
      <c r="L43" s="8">
        <f>_xlfn.XLOOKUP($A43,Sheet3!$B:$B,Sheet3!J:J)</f>
        <v>100</v>
      </c>
      <c r="M43" s="8">
        <f>_xlfn.XLOOKUP($A43,Sheet4!$B:$B,Sheet4!H:H)</f>
        <v>100</v>
      </c>
      <c r="N43" s="8">
        <f>_xlfn.XLOOKUP($A43,Sheet4!$B:$B,Sheet4!I:I)</f>
        <v>100</v>
      </c>
      <c r="O43" s="9">
        <f>_xlfn.XLOOKUP($A43,Sheet4!$B:$B,Sheet4!J:J)</f>
        <v>1</v>
      </c>
      <c r="P43" s="8">
        <f>_xlfn.XLOOKUP($A43,Sheet5!$B:$B,Sheet5!H:H)</f>
        <v>100</v>
      </c>
      <c r="Q43" s="8">
        <f>_xlfn.XLOOKUP($A43,Sheet5!$B:$B,Sheet5!I:I)</f>
        <v>64</v>
      </c>
      <c r="R43" s="8">
        <f>_xlfn.XLOOKUP($A43,Sheet5!$B:$B,Sheet5!J:J)</f>
        <v>0</v>
      </c>
      <c r="S43" s="8">
        <f>_xlfn.XLOOKUP($A43,Sheet6!$B:$B,Sheet6!H:H)</f>
        <v>100</v>
      </c>
      <c r="T43" s="8">
        <f>_xlfn.XLOOKUP($A43,Sheet6!$B:$B,Sheet6!I:I)</f>
        <v>100</v>
      </c>
      <c r="U43" s="9">
        <f>_xlfn.XLOOKUP($A43,Sheet6!$B:$B,Sheet6!J:J)</f>
        <v>24</v>
      </c>
      <c r="V43" s="8" t="e">
        <f>_xlfn.XLOOKUP($A43,Sheet7!$B:$B,Sheet7!H:H)</f>
        <v>#N/A</v>
      </c>
      <c r="W43" s="8" t="e">
        <f>_xlfn.XLOOKUP($A43,Sheet7!$B:$B,Sheet7!I:I)</f>
        <v>#N/A</v>
      </c>
      <c r="X43" s="8" t="e">
        <f>_xlfn.XLOOKUP($A43,Sheet7!$B:$B,Sheet7!J:J)</f>
        <v>#N/A</v>
      </c>
      <c r="Y43" s="8">
        <f>_xlfn.XLOOKUP($A43,Sheet8!$B:$B,Sheet8!H:H)</f>
        <v>100</v>
      </c>
      <c r="Z43" s="8">
        <f>_xlfn.XLOOKUP($A43,Sheet8!$B:$B,Sheet8!I:I)</f>
        <v>0</v>
      </c>
      <c r="AA43" s="9">
        <f>_xlfn.XLOOKUP($A43,Sheet8!$B:$B,Sheet8!J:J)</f>
        <v>0</v>
      </c>
      <c r="AB43" s="6">
        <f>_xlfn.XLOOKUP($A43,Sheet1!$B:$B,Sheet1!G:G,0)+_xlfn.XLOOKUP($A43,Sheet2!$B:$B,Sheet2!G:G,0)</f>
        <v>382</v>
      </c>
      <c r="AC43" s="6">
        <f>_xlfn.XLOOKUP($A43,Sheet3!$B:$B,Sheet3!G:G,0)+_xlfn.XLOOKUP($A43,Sheet4!$B:$B,Sheet4!G:G,0)</f>
        <v>426</v>
      </c>
      <c r="AD43" s="6">
        <f>_xlfn.XLOOKUP($A43,Sheet5!$B:$B,Sheet5!G:G,0)+_xlfn.XLOOKUP($A43,Sheet6!$B:$B,Sheet6!G:G,0)</f>
        <v>388</v>
      </c>
      <c r="AE43" s="6">
        <f>_xlfn.XLOOKUP($A43,Sheet7!$B:$B,Sheet7!G:G,0)+_xlfn.XLOOKUP($A43,Sheet8!$B:$B,Sheet8!G:G,0)</f>
        <v>100</v>
      </c>
      <c r="AF43" s="6" cm="1">
        <f t="array" ref="AF43">SUM(IFERROR(AB43:AE43,0))</f>
        <v>1296</v>
      </c>
      <c r="AG43" s="6">
        <f t="shared" si="0"/>
        <v>40</v>
      </c>
    </row>
    <row r="44" spans="1:33" ht="15.6" x14ac:dyDescent="0.3">
      <c r="A44" s="6" t="s">
        <v>221</v>
      </c>
      <c r="B44" s="6" t="str">
        <f>_xlfn.XLOOKUP($A44,Sheet3!$B:$B,Sheet3!D:D)</f>
        <v>安徽师范大学附属中学</v>
      </c>
      <c r="C44" s="7" t="str">
        <f>_xlfn.XLOOKUP($A44,Sheet3!$B:$B,Sheet3!E:E)</f>
        <v>赵旭初</v>
      </c>
      <c r="D44" s="6">
        <f>_xlfn.XLOOKUP($A44,Sheet1!$B:$B,Sheet1!H:H)</f>
        <v>100</v>
      </c>
      <c r="E44" s="6">
        <f>_xlfn.XLOOKUP($A44,Sheet1!$B:$B,Sheet1!I:I)</f>
        <v>0</v>
      </c>
      <c r="F44" s="6">
        <f>_xlfn.XLOOKUP($A44,Sheet1!$B:$B,Sheet1!J:J)</f>
        <v>7</v>
      </c>
      <c r="G44" s="6">
        <f>_xlfn.XLOOKUP($A44,Sheet2!$B:$B,Sheet2!H:H)</f>
        <v>100</v>
      </c>
      <c r="H44" s="6">
        <f>_xlfn.XLOOKUP($A44,Sheet2!$B:$B,Sheet2!I:I)</f>
        <v>32</v>
      </c>
      <c r="I44" s="7">
        <f>_xlfn.XLOOKUP($A44,Sheet2!$B:$B,Sheet2!J:J)</f>
        <v>0</v>
      </c>
      <c r="J44" s="8">
        <f>_xlfn.XLOOKUP($A44,Sheet3!$B:$B,Sheet3!H:H)</f>
        <v>88</v>
      </c>
      <c r="K44" s="8">
        <f>_xlfn.XLOOKUP($A44,Sheet3!$B:$B,Sheet3!I:I)</f>
        <v>100</v>
      </c>
      <c r="L44" s="8">
        <f>_xlfn.XLOOKUP($A44,Sheet3!$B:$B,Sheet3!J:J)</f>
        <v>20</v>
      </c>
      <c r="M44" s="8">
        <f>_xlfn.XLOOKUP($A44,Sheet4!$B:$B,Sheet4!H:H)</f>
        <v>100</v>
      </c>
      <c r="N44" s="8">
        <f>_xlfn.XLOOKUP($A44,Sheet4!$B:$B,Sheet4!I:I)</f>
        <v>10</v>
      </c>
      <c r="O44" s="9">
        <f>_xlfn.XLOOKUP($A44,Sheet4!$B:$B,Sheet4!J:J)</f>
        <v>12</v>
      </c>
      <c r="P44" s="8">
        <f>_xlfn.XLOOKUP($A44,Sheet5!$B:$B,Sheet5!H:H)</f>
        <v>95</v>
      </c>
      <c r="Q44" s="8">
        <f>_xlfn.XLOOKUP($A44,Sheet5!$B:$B,Sheet5!I:I)</f>
        <v>57</v>
      </c>
      <c r="R44" s="8">
        <f>_xlfn.XLOOKUP($A44,Sheet5!$B:$B,Sheet5!J:J)</f>
        <v>30</v>
      </c>
      <c r="S44" s="8">
        <f>_xlfn.XLOOKUP($A44,Sheet6!$B:$B,Sheet6!H:H)</f>
        <v>100</v>
      </c>
      <c r="T44" s="8">
        <f>_xlfn.XLOOKUP($A44,Sheet6!$B:$B,Sheet6!I:I)</f>
        <v>100</v>
      </c>
      <c r="U44" s="9">
        <f>_xlfn.XLOOKUP($A44,Sheet6!$B:$B,Sheet6!J:J)</f>
        <v>84</v>
      </c>
      <c r="V44" s="8">
        <f>_xlfn.XLOOKUP($A44,Sheet7!$B:$B,Sheet7!H:H)</f>
        <v>100</v>
      </c>
      <c r="W44" s="8">
        <f>_xlfn.XLOOKUP($A44,Sheet7!$B:$B,Sheet7!I:I)</f>
        <v>60</v>
      </c>
      <c r="X44" s="8">
        <f>_xlfn.XLOOKUP($A44,Sheet7!$B:$B,Sheet7!J:J)</f>
        <v>0</v>
      </c>
      <c r="Y44" s="8">
        <f>_xlfn.XLOOKUP($A44,Sheet8!$B:$B,Sheet8!H:H)</f>
        <v>100</v>
      </c>
      <c r="Z44" s="8">
        <f>_xlfn.XLOOKUP($A44,Sheet8!$B:$B,Sheet8!I:I)</f>
        <v>0</v>
      </c>
      <c r="AA44" s="9">
        <f>_xlfn.XLOOKUP($A44,Sheet8!$B:$B,Sheet8!J:J)</f>
        <v>0</v>
      </c>
      <c r="AB44" s="6">
        <f>_xlfn.XLOOKUP($A44,Sheet1!$B:$B,Sheet1!G:G,0)+_xlfn.XLOOKUP($A44,Sheet2!$B:$B,Sheet2!G:G,0)</f>
        <v>239</v>
      </c>
      <c r="AC44" s="6">
        <f>_xlfn.XLOOKUP($A44,Sheet3!$B:$B,Sheet3!G:G,0)+_xlfn.XLOOKUP($A44,Sheet4!$B:$B,Sheet4!G:G,0)</f>
        <v>330</v>
      </c>
      <c r="AD44" s="6">
        <f>_xlfn.XLOOKUP($A44,Sheet5!$B:$B,Sheet5!G:G,0)+_xlfn.XLOOKUP($A44,Sheet6!$B:$B,Sheet6!G:G,0)</f>
        <v>466</v>
      </c>
      <c r="AE44" s="6">
        <f>_xlfn.XLOOKUP($A44,Sheet7!$B:$B,Sheet7!G:G,0)+_xlfn.XLOOKUP($A44,Sheet8!$B:$B,Sheet8!G:G,0)</f>
        <v>260</v>
      </c>
      <c r="AF44" s="6" cm="1">
        <f t="array" ref="AF44">SUM(IFERROR(AB44:AE44,0))</f>
        <v>1295</v>
      </c>
      <c r="AG44" s="6">
        <f t="shared" si="0"/>
        <v>41</v>
      </c>
    </row>
    <row r="45" spans="1:33" ht="15.6" x14ac:dyDescent="0.3">
      <c r="A45" s="6" t="s">
        <v>335</v>
      </c>
      <c r="B45" s="6" t="str">
        <f>_xlfn.XLOOKUP($A45,Sheet3!$B:$B,Sheet3!D:D)</f>
        <v>华南师范大学附属中学</v>
      </c>
      <c r="C45" s="7" t="str">
        <f>_xlfn.XLOOKUP($A45,Sheet3!$B:$B,Sheet3!E:E)</f>
        <v>卢逸轩</v>
      </c>
      <c r="D45" s="6">
        <f>_xlfn.XLOOKUP($A45,Sheet1!$B:$B,Sheet1!H:H)</f>
        <v>18</v>
      </c>
      <c r="E45" s="6">
        <f>_xlfn.XLOOKUP($A45,Sheet1!$B:$B,Sheet1!I:I)</f>
        <v>27</v>
      </c>
      <c r="F45" s="6">
        <f>_xlfn.XLOOKUP($A45,Sheet1!$B:$B,Sheet1!J:J)</f>
        <v>0</v>
      </c>
      <c r="G45" s="6">
        <f>_xlfn.XLOOKUP($A45,Sheet2!$B:$B,Sheet2!H:H)</f>
        <v>100</v>
      </c>
      <c r="H45" s="6">
        <f>_xlfn.XLOOKUP($A45,Sheet2!$B:$B,Sheet2!I:I)</f>
        <v>56</v>
      </c>
      <c r="I45" s="7">
        <f>_xlfn.XLOOKUP($A45,Sheet2!$B:$B,Sheet2!J:J)</f>
        <v>25</v>
      </c>
      <c r="J45" s="8">
        <f>_xlfn.XLOOKUP($A45,Sheet3!$B:$B,Sheet3!H:H)</f>
        <v>78</v>
      </c>
      <c r="K45" s="8">
        <f>_xlfn.XLOOKUP($A45,Sheet3!$B:$B,Sheet3!I:I)</f>
        <v>100</v>
      </c>
      <c r="L45" s="8">
        <f>_xlfn.XLOOKUP($A45,Sheet3!$B:$B,Sheet3!J:J)</f>
        <v>20</v>
      </c>
      <c r="M45" s="8">
        <f>_xlfn.XLOOKUP($A45,Sheet4!$B:$B,Sheet4!H:H)</f>
        <v>100</v>
      </c>
      <c r="N45" s="8">
        <f>_xlfn.XLOOKUP($A45,Sheet4!$B:$B,Sheet4!I:I)</f>
        <v>11</v>
      </c>
      <c r="O45" s="9">
        <f>_xlfn.XLOOKUP($A45,Sheet4!$B:$B,Sheet4!J:J)</f>
        <v>69</v>
      </c>
      <c r="P45" s="8">
        <f>_xlfn.XLOOKUP($A45,Sheet5!$B:$B,Sheet5!H:H)</f>
        <v>100</v>
      </c>
      <c r="Q45" s="8">
        <f>_xlfn.XLOOKUP($A45,Sheet5!$B:$B,Sheet5!I:I)</f>
        <v>32</v>
      </c>
      <c r="R45" s="8">
        <f>_xlfn.XLOOKUP($A45,Sheet5!$B:$B,Sheet5!J:J)</f>
        <v>30</v>
      </c>
      <c r="S45" s="8">
        <f>_xlfn.XLOOKUP($A45,Sheet6!$B:$B,Sheet6!H:H)</f>
        <v>100</v>
      </c>
      <c r="T45" s="8">
        <f>_xlfn.XLOOKUP($A45,Sheet6!$B:$B,Sheet6!I:I)</f>
        <v>60</v>
      </c>
      <c r="U45" s="9">
        <f>_xlfn.XLOOKUP($A45,Sheet6!$B:$B,Sheet6!J:J)</f>
        <v>28</v>
      </c>
      <c r="V45" s="8">
        <f>_xlfn.XLOOKUP($A45,Sheet7!$B:$B,Sheet7!H:H)</f>
        <v>100</v>
      </c>
      <c r="W45" s="8">
        <f>_xlfn.XLOOKUP($A45,Sheet7!$B:$B,Sheet7!I:I)</f>
        <v>60</v>
      </c>
      <c r="X45" s="8">
        <f>_xlfn.XLOOKUP($A45,Sheet7!$B:$B,Sheet7!J:J)</f>
        <v>44</v>
      </c>
      <c r="Y45" s="8">
        <f>_xlfn.XLOOKUP($A45,Sheet8!$B:$B,Sheet8!H:H)</f>
        <v>100</v>
      </c>
      <c r="Z45" s="8">
        <f>_xlfn.XLOOKUP($A45,Sheet8!$B:$B,Sheet8!I:I)</f>
        <v>0</v>
      </c>
      <c r="AA45" s="9">
        <f>_xlfn.XLOOKUP($A45,Sheet8!$B:$B,Sheet8!J:J)</f>
        <v>35</v>
      </c>
      <c r="AB45" s="6">
        <f>_xlfn.XLOOKUP($A45,Sheet1!$B:$B,Sheet1!G:G,0)+_xlfn.XLOOKUP($A45,Sheet2!$B:$B,Sheet2!G:G,0)</f>
        <v>226</v>
      </c>
      <c r="AC45" s="6">
        <f>_xlfn.XLOOKUP($A45,Sheet3!$B:$B,Sheet3!G:G,0)+_xlfn.XLOOKUP($A45,Sheet4!$B:$B,Sheet4!G:G,0)</f>
        <v>378</v>
      </c>
      <c r="AD45" s="6">
        <f>_xlfn.XLOOKUP($A45,Sheet5!$B:$B,Sheet5!G:G,0)+_xlfn.XLOOKUP($A45,Sheet6!$B:$B,Sheet6!G:G,0)</f>
        <v>350</v>
      </c>
      <c r="AE45" s="6">
        <f>_xlfn.XLOOKUP($A45,Sheet7!$B:$B,Sheet7!G:G,0)+_xlfn.XLOOKUP($A45,Sheet8!$B:$B,Sheet8!G:G,0)</f>
        <v>339</v>
      </c>
      <c r="AF45" s="6" cm="1">
        <f t="array" ref="AF45">SUM(IFERROR(AB45:AE45,0))</f>
        <v>1293</v>
      </c>
      <c r="AG45" s="6">
        <f t="shared" si="0"/>
        <v>42</v>
      </c>
    </row>
    <row r="46" spans="1:33" ht="15.6" x14ac:dyDescent="0.3">
      <c r="A46" s="6" t="s">
        <v>211</v>
      </c>
      <c r="B46" s="6" t="str">
        <f>_xlfn.XLOOKUP($A46,Sheet3!$B:$B,Sheet3!D:D)</f>
        <v>长沙市第一中学</v>
      </c>
      <c r="C46" s="7" t="str">
        <f>_xlfn.XLOOKUP($A46,Sheet3!$B:$B,Sheet3!E:E)</f>
        <v>杨济帆</v>
      </c>
      <c r="D46" s="6">
        <f>_xlfn.XLOOKUP($A46,Sheet1!$B:$B,Sheet1!H:H)</f>
        <v>100</v>
      </c>
      <c r="E46" s="6">
        <f>_xlfn.XLOOKUP($A46,Sheet1!$B:$B,Sheet1!I:I)</f>
        <v>0</v>
      </c>
      <c r="F46" s="6">
        <f>_xlfn.XLOOKUP($A46,Sheet1!$B:$B,Sheet1!J:J)</f>
        <v>7</v>
      </c>
      <c r="G46" s="6">
        <f>_xlfn.XLOOKUP($A46,Sheet2!$B:$B,Sheet2!H:H)</f>
        <v>100</v>
      </c>
      <c r="H46" s="6">
        <f>_xlfn.XLOOKUP($A46,Sheet2!$B:$B,Sheet2!I:I)</f>
        <v>44</v>
      </c>
      <c r="I46" s="7">
        <f>_xlfn.XLOOKUP($A46,Sheet2!$B:$B,Sheet2!J:J)</f>
        <v>10</v>
      </c>
      <c r="J46" s="8">
        <f>_xlfn.XLOOKUP($A46,Sheet3!$B:$B,Sheet3!H:H)</f>
        <v>100</v>
      </c>
      <c r="K46" s="8">
        <f>_xlfn.XLOOKUP($A46,Sheet3!$B:$B,Sheet3!I:I)</f>
        <v>40</v>
      </c>
      <c r="L46" s="8">
        <f>_xlfn.XLOOKUP($A46,Sheet3!$B:$B,Sheet3!J:J)</f>
        <v>40</v>
      </c>
      <c r="M46" s="8">
        <f>_xlfn.XLOOKUP($A46,Sheet4!$B:$B,Sheet4!H:H)</f>
        <v>60</v>
      </c>
      <c r="N46" s="8">
        <f>_xlfn.XLOOKUP($A46,Sheet4!$B:$B,Sheet4!I:I)</f>
        <v>10</v>
      </c>
      <c r="O46" s="9">
        <f>_xlfn.XLOOKUP($A46,Sheet4!$B:$B,Sheet4!J:J)</f>
        <v>12</v>
      </c>
      <c r="P46" s="8">
        <f>_xlfn.XLOOKUP($A46,Sheet5!$B:$B,Sheet5!H:H)</f>
        <v>100</v>
      </c>
      <c r="Q46" s="8">
        <f>_xlfn.XLOOKUP($A46,Sheet5!$B:$B,Sheet5!I:I)</f>
        <v>61</v>
      </c>
      <c r="R46" s="8">
        <f>_xlfn.XLOOKUP($A46,Sheet5!$B:$B,Sheet5!J:J)</f>
        <v>0</v>
      </c>
      <c r="S46" s="8">
        <f>_xlfn.XLOOKUP($A46,Sheet6!$B:$B,Sheet6!H:H)</f>
        <v>100</v>
      </c>
      <c r="T46" s="8">
        <f>_xlfn.XLOOKUP($A46,Sheet6!$B:$B,Sheet6!I:I)</f>
        <v>100</v>
      </c>
      <c r="U46" s="9">
        <f>_xlfn.XLOOKUP($A46,Sheet6!$B:$B,Sheet6!J:J)</f>
        <v>100</v>
      </c>
      <c r="V46" s="8">
        <f>_xlfn.XLOOKUP($A46,Sheet7!$B:$B,Sheet7!H:H)</f>
        <v>100</v>
      </c>
      <c r="W46" s="8">
        <f>_xlfn.XLOOKUP($A46,Sheet7!$B:$B,Sheet7!I:I)</f>
        <v>90</v>
      </c>
      <c r="X46" s="8">
        <f>_xlfn.XLOOKUP($A46,Sheet7!$B:$B,Sheet7!J:J)</f>
        <v>0</v>
      </c>
      <c r="Y46" s="8">
        <f>_xlfn.XLOOKUP($A46,Sheet8!$B:$B,Sheet8!H:H)</f>
        <v>100</v>
      </c>
      <c r="Z46" s="8">
        <f>_xlfn.XLOOKUP($A46,Sheet8!$B:$B,Sheet8!I:I)</f>
        <v>15</v>
      </c>
      <c r="AA46" s="9">
        <f>_xlfn.XLOOKUP($A46,Sheet8!$B:$B,Sheet8!J:J)</f>
        <v>0</v>
      </c>
      <c r="AB46" s="6">
        <f>_xlfn.XLOOKUP($A46,Sheet1!$B:$B,Sheet1!G:G,0)+_xlfn.XLOOKUP($A46,Sheet2!$B:$B,Sheet2!G:G,0)</f>
        <v>261</v>
      </c>
      <c r="AC46" s="6">
        <f>_xlfn.XLOOKUP($A46,Sheet3!$B:$B,Sheet3!G:G,0)+_xlfn.XLOOKUP($A46,Sheet4!$B:$B,Sheet4!G:G,0)</f>
        <v>262</v>
      </c>
      <c r="AD46" s="6">
        <f>_xlfn.XLOOKUP($A46,Sheet5!$B:$B,Sheet5!G:G,0)+_xlfn.XLOOKUP($A46,Sheet6!$B:$B,Sheet6!G:G,0)</f>
        <v>461</v>
      </c>
      <c r="AE46" s="6">
        <f>_xlfn.XLOOKUP($A46,Sheet7!$B:$B,Sheet7!G:G,0)+_xlfn.XLOOKUP($A46,Sheet8!$B:$B,Sheet8!G:G,0)</f>
        <v>305</v>
      </c>
      <c r="AF46" s="6" cm="1">
        <f t="array" ref="AF46">SUM(IFERROR(AB46:AE46,0))</f>
        <v>1289</v>
      </c>
      <c r="AG46" s="6">
        <f t="shared" si="0"/>
        <v>43</v>
      </c>
    </row>
    <row r="47" spans="1:33" ht="15.6" x14ac:dyDescent="0.3">
      <c r="A47" s="6" t="s">
        <v>124</v>
      </c>
      <c r="B47" s="6" t="str">
        <f>_xlfn.XLOOKUP($A47,Sheet3!$B:$B,Sheet3!D:D)</f>
        <v>成都市锦江区嘉祥外国语高级中学</v>
      </c>
      <c r="C47" s="7" t="str">
        <f>_xlfn.XLOOKUP($A47,Sheet3!$B:$B,Sheet3!E:E)</f>
        <v>张子佩</v>
      </c>
      <c r="D47" s="6">
        <f>_xlfn.XLOOKUP($A47,Sheet1!$B:$B,Sheet1!H:H)</f>
        <v>100</v>
      </c>
      <c r="E47" s="6">
        <f>_xlfn.XLOOKUP($A47,Sheet1!$B:$B,Sheet1!I:I)</f>
        <v>42</v>
      </c>
      <c r="F47" s="6">
        <f>_xlfn.XLOOKUP($A47,Sheet1!$B:$B,Sheet1!J:J)</f>
        <v>7</v>
      </c>
      <c r="G47" s="6">
        <f>_xlfn.XLOOKUP($A47,Sheet2!$B:$B,Sheet2!H:H)</f>
        <v>100</v>
      </c>
      <c r="H47" s="6">
        <f>_xlfn.XLOOKUP($A47,Sheet2!$B:$B,Sheet2!I:I)</f>
        <v>32</v>
      </c>
      <c r="I47" s="7">
        <f>_xlfn.XLOOKUP($A47,Sheet2!$B:$B,Sheet2!J:J)</f>
        <v>25</v>
      </c>
      <c r="J47" s="8">
        <f>_xlfn.XLOOKUP($A47,Sheet3!$B:$B,Sheet3!H:H)</f>
        <v>100</v>
      </c>
      <c r="K47" s="8">
        <f>_xlfn.XLOOKUP($A47,Sheet3!$B:$B,Sheet3!I:I)</f>
        <v>40</v>
      </c>
      <c r="L47" s="8">
        <f>_xlfn.XLOOKUP($A47,Sheet3!$B:$B,Sheet3!J:J)</f>
        <v>40</v>
      </c>
      <c r="M47" s="8">
        <f>_xlfn.XLOOKUP($A47,Sheet4!$B:$B,Sheet4!H:H)</f>
        <v>100</v>
      </c>
      <c r="N47" s="8">
        <f>_xlfn.XLOOKUP($A47,Sheet4!$B:$B,Sheet4!I:I)</f>
        <v>11</v>
      </c>
      <c r="O47" s="9">
        <f>_xlfn.XLOOKUP($A47,Sheet4!$B:$B,Sheet4!J:J)</f>
        <v>1</v>
      </c>
      <c r="P47" s="8">
        <f>_xlfn.XLOOKUP($A47,Sheet5!$B:$B,Sheet5!H:H)</f>
        <v>100</v>
      </c>
      <c r="Q47" s="8">
        <f>_xlfn.XLOOKUP($A47,Sheet5!$B:$B,Sheet5!I:I)</f>
        <v>12</v>
      </c>
      <c r="R47" s="8">
        <f>_xlfn.XLOOKUP($A47,Sheet5!$B:$B,Sheet5!J:J)</f>
        <v>10</v>
      </c>
      <c r="S47" s="8">
        <f>_xlfn.XLOOKUP($A47,Sheet6!$B:$B,Sheet6!H:H)</f>
        <v>100</v>
      </c>
      <c r="T47" s="8">
        <f>_xlfn.XLOOKUP($A47,Sheet6!$B:$B,Sheet6!I:I)</f>
        <v>36</v>
      </c>
      <c r="U47" s="9">
        <f>_xlfn.XLOOKUP($A47,Sheet6!$B:$B,Sheet6!J:J)</f>
        <v>100</v>
      </c>
      <c r="V47" s="8">
        <f>_xlfn.XLOOKUP($A47,Sheet7!$B:$B,Sheet7!H:H)</f>
        <v>100</v>
      </c>
      <c r="W47" s="8">
        <f>_xlfn.XLOOKUP($A47,Sheet7!$B:$B,Sheet7!I:I)</f>
        <v>70</v>
      </c>
      <c r="X47" s="8">
        <f>_xlfn.XLOOKUP($A47,Sheet7!$B:$B,Sheet7!J:J)</f>
        <v>14</v>
      </c>
      <c r="Y47" s="8">
        <f>_xlfn.XLOOKUP($A47,Sheet8!$B:$B,Sheet8!H:H)</f>
        <v>100</v>
      </c>
      <c r="Z47" s="8">
        <f>_xlfn.XLOOKUP($A47,Sheet8!$B:$B,Sheet8!I:I)</f>
        <v>0</v>
      </c>
      <c r="AA47" s="9">
        <f>_xlfn.XLOOKUP($A47,Sheet8!$B:$B,Sheet8!J:J)</f>
        <v>45</v>
      </c>
      <c r="AB47" s="6">
        <f>_xlfn.XLOOKUP($A47,Sheet1!$B:$B,Sheet1!G:G,0)+_xlfn.XLOOKUP($A47,Sheet2!$B:$B,Sheet2!G:G,0)</f>
        <v>306</v>
      </c>
      <c r="AC47" s="6">
        <f>_xlfn.XLOOKUP($A47,Sheet3!$B:$B,Sheet3!G:G,0)+_xlfn.XLOOKUP($A47,Sheet4!$B:$B,Sheet4!G:G,0)</f>
        <v>292</v>
      </c>
      <c r="AD47" s="6">
        <f>_xlfn.XLOOKUP($A47,Sheet5!$B:$B,Sheet5!G:G,0)+_xlfn.XLOOKUP($A47,Sheet6!$B:$B,Sheet6!G:G,0)</f>
        <v>358</v>
      </c>
      <c r="AE47" s="6">
        <f>_xlfn.XLOOKUP($A47,Sheet7!$B:$B,Sheet7!G:G,0)+_xlfn.XLOOKUP($A47,Sheet8!$B:$B,Sheet8!G:G,0)</f>
        <v>329</v>
      </c>
      <c r="AF47" s="6" cm="1">
        <f t="array" ref="AF47">SUM(IFERROR(AB47:AE47,0))</f>
        <v>1285</v>
      </c>
      <c r="AG47" s="6">
        <f t="shared" si="0"/>
        <v>44</v>
      </c>
    </row>
    <row r="48" spans="1:33" ht="15.6" x14ac:dyDescent="0.3">
      <c r="A48" s="6" t="s">
        <v>360</v>
      </c>
      <c r="B48" s="6" t="str">
        <f>_xlfn.XLOOKUP($A48,Sheet3!$B:$B,Sheet3!D:D)</f>
        <v>广州市第六中学</v>
      </c>
      <c r="C48" s="7" t="str">
        <f>_xlfn.XLOOKUP($A48,Sheet3!$B:$B,Sheet3!E:E)</f>
        <v>练思远</v>
      </c>
      <c r="D48" s="6">
        <f>_xlfn.XLOOKUP($A48,Sheet1!$B:$B,Sheet1!H:H)</f>
        <v>12</v>
      </c>
      <c r="E48" s="6">
        <f>_xlfn.XLOOKUP($A48,Sheet1!$B:$B,Sheet1!I:I)</f>
        <v>27</v>
      </c>
      <c r="F48" s="6">
        <f>_xlfn.XLOOKUP($A48,Sheet1!$B:$B,Sheet1!J:J)</f>
        <v>0</v>
      </c>
      <c r="G48" s="6">
        <f>_xlfn.XLOOKUP($A48,Sheet2!$B:$B,Sheet2!H:H)</f>
        <v>100</v>
      </c>
      <c r="H48" s="6">
        <f>_xlfn.XLOOKUP($A48,Sheet2!$B:$B,Sheet2!I:I)</f>
        <v>0</v>
      </c>
      <c r="I48" s="7">
        <f>_xlfn.XLOOKUP($A48,Sheet2!$B:$B,Sheet2!J:J)</f>
        <v>29</v>
      </c>
      <c r="J48" s="8">
        <f>_xlfn.XLOOKUP($A48,Sheet3!$B:$B,Sheet3!H:H)</f>
        <v>100</v>
      </c>
      <c r="K48" s="8">
        <f>_xlfn.XLOOKUP($A48,Sheet3!$B:$B,Sheet3!I:I)</f>
        <v>60</v>
      </c>
      <c r="L48" s="8">
        <f>_xlfn.XLOOKUP($A48,Sheet3!$B:$B,Sheet3!J:J)</f>
        <v>40</v>
      </c>
      <c r="M48" s="8">
        <f>_xlfn.XLOOKUP($A48,Sheet4!$B:$B,Sheet4!H:H)</f>
        <v>100</v>
      </c>
      <c r="N48" s="8">
        <f>_xlfn.XLOOKUP($A48,Sheet4!$B:$B,Sheet4!I:I)</f>
        <v>100</v>
      </c>
      <c r="O48" s="9">
        <f>_xlfn.XLOOKUP($A48,Sheet4!$B:$B,Sheet4!J:J)</f>
        <v>12</v>
      </c>
      <c r="P48" s="8">
        <f>_xlfn.XLOOKUP($A48,Sheet5!$B:$B,Sheet5!H:H)</f>
        <v>95</v>
      </c>
      <c r="Q48" s="8">
        <f>_xlfn.XLOOKUP($A48,Sheet5!$B:$B,Sheet5!I:I)</f>
        <v>58</v>
      </c>
      <c r="R48" s="8">
        <f>_xlfn.XLOOKUP($A48,Sheet5!$B:$B,Sheet5!J:J)</f>
        <v>0</v>
      </c>
      <c r="S48" s="8">
        <f>_xlfn.XLOOKUP($A48,Sheet6!$B:$B,Sheet6!H:H)</f>
        <v>100</v>
      </c>
      <c r="T48" s="8">
        <f>_xlfn.XLOOKUP($A48,Sheet6!$B:$B,Sheet6!I:I)</f>
        <v>100</v>
      </c>
      <c r="U48" s="9">
        <f>_xlfn.XLOOKUP($A48,Sheet6!$B:$B,Sheet6!J:J)</f>
        <v>100</v>
      </c>
      <c r="V48" s="8">
        <f>_xlfn.XLOOKUP($A48,Sheet7!$B:$B,Sheet7!H:H)</f>
        <v>100</v>
      </c>
      <c r="W48" s="8">
        <f>_xlfn.XLOOKUP($A48,Sheet7!$B:$B,Sheet7!I:I)</f>
        <v>30</v>
      </c>
      <c r="X48" s="8">
        <f>_xlfn.XLOOKUP($A48,Sheet7!$B:$B,Sheet7!J:J)</f>
        <v>0</v>
      </c>
      <c r="Y48" s="8">
        <f>_xlfn.XLOOKUP($A48,Sheet8!$B:$B,Sheet8!H:H)</f>
        <v>100</v>
      </c>
      <c r="Z48" s="8">
        <f>_xlfn.XLOOKUP($A48,Sheet8!$B:$B,Sheet8!I:I)</f>
        <v>0</v>
      </c>
      <c r="AA48" s="9">
        <f>_xlfn.XLOOKUP($A48,Sheet8!$B:$B,Sheet8!J:J)</f>
        <v>15</v>
      </c>
      <c r="AB48" s="6">
        <f>_xlfn.XLOOKUP($A48,Sheet1!$B:$B,Sheet1!G:G,0)+_xlfn.XLOOKUP($A48,Sheet2!$B:$B,Sheet2!G:G,0)</f>
        <v>168</v>
      </c>
      <c r="AC48" s="6">
        <f>_xlfn.XLOOKUP($A48,Sheet3!$B:$B,Sheet3!G:G,0)+_xlfn.XLOOKUP($A48,Sheet4!$B:$B,Sheet4!G:G,0)</f>
        <v>412</v>
      </c>
      <c r="AD48" s="6">
        <f>_xlfn.XLOOKUP($A48,Sheet5!$B:$B,Sheet5!G:G,0)+_xlfn.XLOOKUP($A48,Sheet6!$B:$B,Sheet6!G:G,0)</f>
        <v>453</v>
      </c>
      <c r="AE48" s="6">
        <f>_xlfn.XLOOKUP($A48,Sheet7!$B:$B,Sheet7!G:G,0)+_xlfn.XLOOKUP($A48,Sheet8!$B:$B,Sheet8!G:G,0)</f>
        <v>245</v>
      </c>
      <c r="AF48" s="6" cm="1">
        <f t="array" ref="AF48">SUM(IFERROR(AB48:AE48,0))</f>
        <v>1278</v>
      </c>
      <c r="AG48" s="6">
        <f t="shared" si="0"/>
        <v>45</v>
      </c>
    </row>
    <row r="49" spans="1:33" ht="15.6" x14ac:dyDescent="0.3">
      <c r="A49" s="6" t="s">
        <v>166</v>
      </c>
      <c r="B49" s="6" t="str">
        <f>_xlfn.XLOOKUP($A49,Sheet3!$B:$B,Sheet3!D:D)</f>
        <v>长沙市中雅培粹学校</v>
      </c>
      <c r="C49" s="7" t="str">
        <f>_xlfn.XLOOKUP($A49,Sheet3!$B:$B,Sheet3!E:E)</f>
        <v>李学睿</v>
      </c>
      <c r="D49" s="6">
        <f>_xlfn.XLOOKUP($A49,Sheet1!$B:$B,Sheet1!H:H)</f>
        <v>100</v>
      </c>
      <c r="E49" s="6">
        <f>_xlfn.XLOOKUP($A49,Sheet1!$B:$B,Sheet1!I:I)</f>
        <v>27</v>
      </c>
      <c r="F49" s="6">
        <f>_xlfn.XLOOKUP($A49,Sheet1!$B:$B,Sheet1!J:J)</f>
        <v>0</v>
      </c>
      <c r="G49" s="6">
        <f>_xlfn.XLOOKUP($A49,Sheet2!$B:$B,Sheet2!H:H)</f>
        <v>100</v>
      </c>
      <c r="H49" s="6">
        <f>_xlfn.XLOOKUP($A49,Sheet2!$B:$B,Sheet2!I:I)</f>
        <v>44</v>
      </c>
      <c r="I49" s="7">
        <f>_xlfn.XLOOKUP($A49,Sheet2!$B:$B,Sheet2!J:J)</f>
        <v>0</v>
      </c>
      <c r="J49" s="8">
        <f>_xlfn.XLOOKUP($A49,Sheet3!$B:$B,Sheet3!H:H)</f>
        <v>100</v>
      </c>
      <c r="K49" s="8">
        <f>_xlfn.XLOOKUP($A49,Sheet3!$B:$B,Sheet3!I:I)</f>
        <v>100</v>
      </c>
      <c r="L49" s="8">
        <f>_xlfn.XLOOKUP($A49,Sheet3!$B:$B,Sheet3!J:J)</f>
        <v>40</v>
      </c>
      <c r="M49" s="8">
        <f>_xlfn.XLOOKUP($A49,Sheet4!$B:$B,Sheet4!H:H)</f>
        <v>0</v>
      </c>
      <c r="N49" s="8">
        <f>_xlfn.XLOOKUP($A49,Sheet4!$B:$B,Sheet4!I:I)</f>
        <v>0</v>
      </c>
      <c r="O49" s="9">
        <f>_xlfn.XLOOKUP($A49,Sheet4!$B:$B,Sheet4!J:J)</f>
        <v>0</v>
      </c>
      <c r="P49" s="8">
        <f>_xlfn.XLOOKUP($A49,Sheet5!$B:$B,Sheet5!H:H)</f>
        <v>100</v>
      </c>
      <c r="Q49" s="8">
        <f>_xlfn.XLOOKUP($A49,Sheet5!$B:$B,Sheet5!I:I)</f>
        <v>0</v>
      </c>
      <c r="R49" s="8">
        <f>_xlfn.XLOOKUP($A49,Sheet5!$B:$B,Sheet5!J:J)</f>
        <v>100</v>
      </c>
      <c r="S49" s="8">
        <f>_xlfn.XLOOKUP($A49,Sheet6!$B:$B,Sheet6!H:H)</f>
        <v>100</v>
      </c>
      <c r="T49" s="8">
        <f>_xlfn.XLOOKUP($A49,Sheet6!$B:$B,Sheet6!I:I)</f>
        <v>100</v>
      </c>
      <c r="U49" s="9">
        <f>_xlfn.XLOOKUP($A49,Sheet6!$B:$B,Sheet6!J:J)</f>
        <v>16</v>
      </c>
      <c r="V49" s="8">
        <f>_xlfn.XLOOKUP($A49,Sheet7!$B:$B,Sheet7!H:H)</f>
        <v>100</v>
      </c>
      <c r="W49" s="8">
        <f>_xlfn.XLOOKUP($A49,Sheet7!$B:$B,Sheet7!I:I)</f>
        <v>100</v>
      </c>
      <c r="X49" s="8">
        <f>_xlfn.XLOOKUP($A49,Sheet7!$B:$B,Sheet7!J:J)</f>
        <v>40</v>
      </c>
      <c r="Y49" s="8">
        <f>_xlfn.XLOOKUP($A49,Sheet8!$B:$B,Sheet8!H:H)</f>
        <v>100</v>
      </c>
      <c r="Z49" s="8">
        <f>_xlfn.XLOOKUP($A49,Sheet8!$B:$B,Sheet8!I:I)</f>
        <v>0</v>
      </c>
      <c r="AA49" s="9">
        <f>_xlfn.XLOOKUP($A49,Sheet8!$B:$B,Sheet8!J:J)</f>
        <v>0</v>
      </c>
      <c r="AB49" s="6">
        <f>_xlfn.XLOOKUP($A49,Sheet1!$B:$B,Sheet1!G:G,0)+_xlfn.XLOOKUP($A49,Sheet2!$B:$B,Sheet2!G:G,0)</f>
        <v>271</v>
      </c>
      <c r="AC49" s="6">
        <f>_xlfn.XLOOKUP($A49,Sheet3!$B:$B,Sheet3!G:G,0)+_xlfn.XLOOKUP($A49,Sheet4!$B:$B,Sheet4!G:G,0)</f>
        <v>240</v>
      </c>
      <c r="AD49" s="6">
        <f>_xlfn.XLOOKUP($A49,Sheet5!$B:$B,Sheet5!G:G,0)+_xlfn.XLOOKUP($A49,Sheet6!$B:$B,Sheet6!G:G,0)</f>
        <v>416</v>
      </c>
      <c r="AE49" s="6">
        <f>_xlfn.XLOOKUP($A49,Sheet7!$B:$B,Sheet7!G:G,0)+_xlfn.XLOOKUP($A49,Sheet8!$B:$B,Sheet8!G:G,0)</f>
        <v>340</v>
      </c>
      <c r="AF49" s="6" cm="1">
        <f t="array" ref="AF49">SUM(IFERROR(AB49:AE49,0))</f>
        <v>1267</v>
      </c>
      <c r="AG49" s="6">
        <f t="shared" si="0"/>
        <v>46</v>
      </c>
    </row>
    <row r="50" spans="1:33" ht="15.6" x14ac:dyDescent="0.3">
      <c r="A50" s="6" t="s">
        <v>344</v>
      </c>
      <c r="B50" s="6" t="str">
        <f>_xlfn.XLOOKUP($A50,Sheet3!$B:$B,Sheet3!D:D)</f>
        <v>广州市铁一中学</v>
      </c>
      <c r="C50" s="7" t="str">
        <f>_xlfn.XLOOKUP($A50,Sheet3!$B:$B,Sheet3!E:E)</f>
        <v>于镓赫</v>
      </c>
      <c r="D50" s="6">
        <f>_xlfn.XLOOKUP($A50,Sheet1!$B:$B,Sheet1!H:H)</f>
        <v>0</v>
      </c>
      <c r="E50" s="6">
        <f>_xlfn.XLOOKUP($A50,Sheet1!$B:$B,Sheet1!I:I)</f>
        <v>42</v>
      </c>
      <c r="F50" s="6">
        <f>_xlfn.XLOOKUP($A50,Sheet1!$B:$B,Sheet1!J:J)</f>
        <v>0</v>
      </c>
      <c r="G50" s="6">
        <f>_xlfn.XLOOKUP($A50,Sheet2!$B:$B,Sheet2!H:H)</f>
        <v>100</v>
      </c>
      <c r="H50" s="6">
        <f>_xlfn.XLOOKUP($A50,Sheet2!$B:$B,Sheet2!I:I)</f>
        <v>32</v>
      </c>
      <c r="I50" s="7">
        <f>_xlfn.XLOOKUP($A50,Sheet2!$B:$B,Sheet2!J:J)</f>
        <v>12</v>
      </c>
      <c r="J50" s="8">
        <f>_xlfn.XLOOKUP($A50,Sheet3!$B:$B,Sheet3!H:H)</f>
        <v>100</v>
      </c>
      <c r="K50" s="8">
        <f>_xlfn.XLOOKUP($A50,Sheet3!$B:$B,Sheet3!I:I)</f>
        <v>100</v>
      </c>
      <c r="L50" s="8">
        <f>_xlfn.XLOOKUP($A50,Sheet3!$B:$B,Sheet3!J:J)</f>
        <v>40</v>
      </c>
      <c r="M50" s="8">
        <f>_xlfn.XLOOKUP($A50,Sheet4!$B:$B,Sheet4!H:H)</f>
        <v>100</v>
      </c>
      <c r="N50" s="8">
        <f>_xlfn.XLOOKUP($A50,Sheet4!$B:$B,Sheet4!I:I)</f>
        <v>100</v>
      </c>
      <c r="O50" s="9">
        <f>_xlfn.XLOOKUP($A50,Sheet4!$B:$B,Sheet4!J:J)</f>
        <v>22</v>
      </c>
      <c r="P50" s="8">
        <f>_xlfn.XLOOKUP($A50,Sheet5!$B:$B,Sheet5!H:H)</f>
        <v>100</v>
      </c>
      <c r="Q50" s="8">
        <f>_xlfn.XLOOKUP($A50,Sheet5!$B:$B,Sheet5!I:I)</f>
        <v>48</v>
      </c>
      <c r="R50" s="8">
        <f>_xlfn.XLOOKUP($A50,Sheet5!$B:$B,Sheet5!J:J)</f>
        <v>0</v>
      </c>
      <c r="S50" s="8">
        <f>_xlfn.XLOOKUP($A50,Sheet6!$B:$B,Sheet6!H:H)</f>
        <v>100</v>
      </c>
      <c r="T50" s="8">
        <f>_xlfn.XLOOKUP($A50,Sheet6!$B:$B,Sheet6!I:I)</f>
        <v>0</v>
      </c>
      <c r="U50" s="9">
        <f>_xlfn.XLOOKUP($A50,Sheet6!$B:$B,Sheet6!J:J)</f>
        <v>100</v>
      </c>
      <c r="V50" s="8">
        <f>_xlfn.XLOOKUP($A50,Sheet7!$B:$B,Sheet7!H:H)</f>
        <v>100</v>
      </c>
      <c r="W50" s="8">
        <f>_xlfn.XLOOKUP($A50,Sheet7!$B:$B,Sheet7!I:I)</f>
        <v>60</v>
      </c>
      <c r="X50" s="8">
        <f>_xlfn.XLOOKUP($A50,Sheet7!$B:$B,Sheet7!J:J)</f>
        <v>0</v>
      </c>
      <c r="Y50" s="8">
        <f>_xlfn.XLOOKUP($A50,Sheet8!$B:$B,Sheet8!H:H)</f>
        <v>100</v>
      </c>
      <c r="Z50" s="8">
        <f>_xlfn.XLOOKUP($A50,Sheet8!$B:$B,Sheet8!I:I)</f>
        <v>0</v>
      </c>
      <c r="AA50" s="9">
        <f>_xlfn.XLOOKUP($A50,Sheet8!$B:$B,Sheet8!J:J)</f>
        <v>10</v>
      </c>
      <c r="AB50" s="6">
        <f>_xlfn.XLOOKUP($A50,Sheet1!$B:$B,Sheet1!G:G,0)+_xlfn.XLOOKUP($A50,Sheet2!$B:$B,Sheet2!G:G,0)</f>
        <v>186</v>
      </c>
      <c r="AC50" s="6">
        <f>_xlfn.XLOOKUP($A50,Sheet3!$B:$B,Sheet3!G:G,0)+_xlfn.XLOOKUP($A50,Sheet4!$B:$B,Sheet4!G:G,0)</f>
        <v>462</v>
      </c>
      <c r="AD50" s="6">
        <f>_xlfn.XLOOKUP($A50,Sheet5!$B:$B,Sheet5!G:G,0)+_xlfn.XLOOKUP($A50,Sheet6!$B:$B,Sheet6!G:G,0)</f>
        <v>348</v>
      </c>
      <c r="AE50" s="6">
        <f>_xlfn.XLOOKUP($A50,Sheet7!$B:$B,Sheet7!G:G,0)+_xlfn.XLOOKUP($A50,Sheet8!$B:$B,Sheet8!G:G,0)</f>
        <v>270</v>
      </c>
      <c r="AF50" s="6" cm="1">
        <f t="array" ref="AF50">SUM(IFERROR(AB50:AE50,0))</f>
        <v>1266</v>
      </c>
      <c r="AG50" s="6">
        <f t="shared" si="0"/>
        <v>47</v>
      </c>
    </row>
    <row r="51" spans="1:33" ht="15.6" x14ac:dyDescent="0.3">
      <c r="A51" s="6" t="s">
        <v>284</v>
      </c>
      <c r="B51" s="6" t="str">
        <f>_xlfn.XLOOKUP($A51,Sheet3!$B:$B,Sheet3!D:D)</f>
        <v>上海市曹杨第二中学</v>
      </c>
      <c r="C51" s="7" t="str">
        <f>_xlfn.XLOOKUP($A51,Sheet3!$B:$B,Sheet3!E:E)</f>
        <v>李烨霖</v>
      </c>
      <c r="D51" s="6">
        <f>_xlfn.XLOOKUP($A51,Sheet1!$B:$B,Sheet1!H:H)</f>
        <v>24</v>
      </c>
      <c r="E51" s="6">
        <f>_xlfn.XLOOKUP($A51,Sheet1!$B:$B,Sheet1!I:I)</f>
        <v>42</v>
      </c>
      <c r="F51" s="6">
        <f>_xlfn.XLOOKUP($A51,Sheet1!$B:$B,Sheet1!J:J)</f>
        <v>0</v>
      </c>
      <c r="G51" s="6">
        <f>_xlfn.XLOOKUP($A51,Sheet2!$B:$B,Sheet2!H:H)</f>
        <v>100</v>
      </c>
      <c r="H51" s="6">
        <f>_xlfn.XLOOKUP($A51,Sheet2!$B:$B,Sheet2!I:I)</f>
        <v>0</v>
      </c>
      <c r="I51" s="7">
        <f>_xlfn.XLOOKUP($A51,Sheet2!$B:$B,Sheet2!J:J)</f>
        <v>15</v>
      </c>
      <c r="J51" s="8">
        <f>_xlfn.XLOOKUP($A51,Sheet3!$B:$B,Sheet3!H:H)</f>
        <v>100</v>
      </c>
      <c r="K51" s="8">
        <f>_xlfn.XLOOKUP($A51,Sheet3!$B:$B,Sheet3!I:I)</f>
        <v>100</v>
      </c>
      <c r="L51" s="8">
        <f>_xlfn.XLOOKUP($A51,Sheet3!$B:$B,Sheet3!J:J)</f>
        <v>50</v>
      </c>
      <c r="M51" s="8">
        <f>_xlfn.XLOOKUP($A51,Sheet4!$B:$B,Sheet4!H:H)</f>
        <v>30</v>
      </c>
      <c r="N51" s="8">
        <f>_xlfn.XLOOKUP($A51,Sheet4!$B:$B,Sheet4!I:I)</f>
        <v>11</v>
      </c>
      <c r="O51" s="9">
        <f>_xlfn.XLOOKUP($A51,Sheet4!$B:$B,Sheet4!J:J)</f>
        <v>0</v>
      </c>
      <c r="P51" s="8">
        <f>_xlfn.XLOOKUP($A51,Sheet5!$B:$B,Sheet5!H:H)</f>
        <v>100</v>
      </c>
      <c r="Q51" s="8">
        <f>_xlfn.XLOOKUP($A51,Sheet5!$B:$B,Sheet5!I:I)</f>
        <v>32</v>
      </c>
      <c r="R51" s="8">
        <f>_xlfn.XLOOKUP($A51,Sheet5!$B:$B,Sheet5!J:J)</f>
        <v>20</v>
      </c>
      <c r="S51" s="8">
        <f>_xlfn.XLOOKUP($A51,Sheet6!$B:$B,Sheet6!H:H)</f>
        <v>100</v>
      </c>
      <c r="T51" s="8">
        <f>_xlfn.XLOOKUP($A51,Sheet6!$B:$B,Sheet6!I:I)</f>
        <v>100</v>
      </c>
      <c r="U51" s="9">
        <f>_xlfn.XLOOKUP($A51,Sheet6!$B:$B,Sheet6!J:J)</f>
        <v>100</v>
      </c>
      <c r="V51" s="8">
        <f>_xlfn.XLOOKUP($A51,Sheet7!$B:$B,Sheet7!H:H)</f>
        <v>100</v>
      </c>
      <c r="W51" s="8">
        <f>_xlfn.XLOOKUP($A51,Sheet7!$B:$B,Sheet7!I:I)</f>
        <v>30</v>
      </c>
      <c r="X51" s="8">
        <f>_xlfn.XLOOKUP($A51,Sheet7!$B:$B,Sheet7!J:J)</f>
        <v>42</v>
      </c>
      <c r="Y51" s="8">
        <f>_xlfn.XLOOKUP($A51,Sheet8!$B:$B,Sheet8!H:H)</f>
        <v>100</v>
      </c>
      <c r="Z51" s="8">
        <f>_xlfn.XLOOKUP($A51,Sheet8!$B:$B,Sheet8!I:I)</f>
        <v>45</v>
      </c>
      <c r="AA51" s="9">
        <f>_xlfn.XLOOKUP($A51,Sheet8!$B:$B,Sheet8!J:J)</f>
        <v>0</v>
      </c>
      <c r="AB51" s="6">
        <f>_xlfn.XLOOKUP($A51,Sheet1!$B:$B,Sheet1!G:G,0)+_xlfn.XLOOKUP($A51,Sheet2!$B:$B,Sheet2!G:G,0)</f>
        <v>181</v>
      </c>
      <c r="AC51" s="6">
        <f>_xlfn.XLOOKUP($A51,Sheet3!$B:$B,Sheet3!G:G,0)+_xlfn.XLOOKUP($A51,Sheet4!$B:$B,Sheet4!G:G,0)</f>
        <v>291</v>
      </c>
      <c r="AD51" s="6">
        <f>_xlfn.XLOOKUP($A51,Sheet5!$B:$B,Sheet5!G:G,0)+_xlfn.XLOOKUP($A51,Sheet6!$B:$B,Sheet6!G:G,0)</f>
        <v>452</v>
      </c>
      <c r="AE51" s="6">
        <f>_xlfn.XLOOKUP($A51,Sheet7!$B:$B,Sheet7!G:G,0)+_xlfn.XLOOKUP($A51,Sheet8!$B:$B,Sheet8!G:G,0)</f>
        <v>317</v>
      </c>
      <c r="AF51" s="6" cm="1">
        <f t="array" ref="AF51">SUM(IFERROR(AB51:AE51,0))</f>
        <v>1241</v>
      </c>
      <c r="AG51" s="6">
        <f t="shared" si="0"/>
        <v>48</v>
      </c>
    </row>
    <row r="52" spans="1:33" ht="15.6" x14ac:dyDescent="0.3">
      <c r="A52" s="6" t="s">
        <v>176</v>
      </c>
      <c r="B52" s="6" t="str">
        <f>_xlfn.XLOOKUP($A52,Sheet3!$B:$B,Sheet3!D:D)</f>
        <v>中山市中山纪念中学</v>
      </c>
      <c r="C52" s="7" t="str">
        <f>_xlfn.XLOOKUP($A52,Sheet3!$B:$B,Sheet3!E:E)</f>
        <v>胡金勇</v>
      </c>
      <c r="D52" s="6">
        <f>_xlfn.XLOOKUP($A52,Sheet1!$B:$B,Sheet1!H:H)</f>
        <v>100</v>
      </c>
      <c r="E52" s="6">
        <f>_xlfn.XLOOKUP($A52,Sheet1!$B:$B,Sheet1!I:I)</f>
        <v>0</v>
      </c>
      <c r="F52" s="6">
        <f>_xlfn.XLOOKUP($A52,Sheet1!$B:$B,Sheet1!J:J)</f>
        <v>25</v>
      </c>
      <c r="G52" s="6">
        <f>_xlfn.XLOOKUP($A52,Sheet2!$B:$B,Sheet2!H:H)</f>
        <v>100</v>
      </c>
      <c r="H52" s="6">
        <f>_xlfn.XLOOKUP($A52,Sheet2!$B:$B,Sheet2!I:I)</f>
        <v>20</v>
      </c>
      <c r="I52" s="7">
        <f>_xlfn.XLOOKUP($A52,Sheet2!$B:$B,Sheet2!J:J)</f>
        <v>25</v>
      </c>
      <c r="J52" s="8">
        <f>_xlfn.XLOOKUP($A52,Sheet3!$B:$B,Sheet3!H:H)</f>
        <v>100</v>
      </c>
      <c r="K52" s="8">
        <f>_xlfn.XLOOKUP($A52,Sheet3!$B:$B,Sheet3!I:I)</f>
        <v>100</v>
      </c>
      <c r="L52" s="8">
        <f>_xlfn.XLOOKUP($A52,Sheet3!$B:$B,Sheet3!J:J)</f>
        <v>40</v>
      </c>
      <c r="M52" s="8">
        <f>_xlfn.XLOOKUP($A52,Sheet4!$B:$B,Sheet4!H:H)</f>
        <v>100</v>
      </c>
      <c r="N52" s="8">
        <f>_xlfn.XLOOKUP($A52,Sheet4!$B:$B,Sheet4!I:I)</f>
        <v>0</v>
      </c>
      <c r="O52" s="9">
        <f>_xlfn.XLOOKUP($A52,Sheet4!$B:$B,Sheet4!J:J)</f>
        <v>5</v>
      </c>
      <c r="P52" s="8">
        <f>_xlfn.XLOOKUP($A52,Sheet5!$B:$B,Sheet5!H:H)</f>
        <v>55</v>
      </c>
      <c r="Q52" s="8">
        <f>_xlfn.XLOOKUP($A52,Sheet5!$B:$B,Sheet5!I:I)</f>
        <v>28</v>
      </c>
      <c r="R52" s="8">
        <f>_xlfn.XLOOKUP($A52,Sheet5!$B:$B,Sheet5!J:J)</f>
        <v>0</v>
      </c>
      <c r="S52" s="8">
        <f>_xlfn.XLOOKUP($A52,Sheet6!$B:$B,Sheet6!H:H)</f>
        <v>100</v>
      </c>
      <c r="T52" s="8">
        <f>_xlfn.XLOOKUP($A52,Sheet6!$B:$B,Sheet6!I:I)</f>
        <v>44</v>
      </c>
      <c r="U52" s="9">
        <f>_xlfn.XLOOKUP($A52,Sheet6!$B:$B,Sheet6!J:J)</f>
        <v>96</v>
      </c>
      <c r="V52" s="8">
        <f>_xlfn.XLOOKUP($A52,Sheet7!$B:$B,Sheet7!H:H)</f>
        <v>100</v>
      </c>
      <c r="W52" s="8">
        <f>_xlfn.XLOOKUP($A52,Sheet7!$B:$B,Sheet7!I:I)</f>
        <v>90</v>
      </c>
      <c r="X52" s="8">
        <f>_xlfn.XLOOKUP($A52,Sheet7!$B:$B,Sheet7!J:J)</f>
        <v>0</v>
      </c>
      <c r="Y52" s="8">
        <f>_xlfn.XLOOKUP($A52,Sheet8!$B:$B,Sheet8!H:H)</f>
        <v>100</v>
      </c>
      <c r="Z52" s="8">
        <f>_xlfn.XLOOKUP($A52,Sheet8!$B:$B,Sheet8!I:I)</f>
        <v>0</v>
      </c>
      <c r="AA52" s="9">
        <f>_xlfn.XLOOKUP($A52,Sheet8!$B:$B,Sheet8!J:J)</f>
        <v>0</v>
      </c>
      <c r="AB52" s="6">
        <f>_xlfn.XLOOKUP($A52,Sheet1!$B:$B,Sheet1!G:G,0)+_xlfn.XLOOKUP($A52,Sheet2!$B:$B,Sheet2!G:G,0)</f>
        <v>270</v>
      </c>
      <c r="AC52" s="6">
        <f>_xlfn.XLOOKUP($A52,Sheet3!$B:$B,Sheet3!G:G,0)+_xlfn.XLOOKUP($A52,Sheet4!$B:$B,Sheet4!G:G,0)</f>
        <v>345</v>
      </c>
      <c r="AD52" s="6">
        <f>_xlfn.XLOOKUP($A52,Sheet5!$B:$B,Sheet5!G:G,0)+_xlfn.XLOOKUP($A52,Sheet6!$B:$B,Sheet6!G:G,0)</f>
        <v>323</v>
      </c>
      <c r="AE52" s="6">
        <f>_xlfn.XLOOKUP($A52,Sheet7!$B:$B,Sheet7!G:G,0)+_xlfn.XLOOKUP($A52,Sheet8!$B:$B,Sheet8!G:G,0)</f>
        <v>290</v>
      </c>
      <c r="AF52" s="6" cm="1">
        <f t="array" ref="AF52">SUM(IFERROR(AB52:AE52,0))</f>
        <v>1228</v>
      </c>
      <c r="AG52" s="6">
        <f t="shared" si="0"/>
        <v>49</v>
      </c>
    </row>
    <row r="53" spans="1:33" ht="15.6" x14ac:dyDescent="0.3">
      <c r="A53" s="6" t="s">
        <v>482</v>
      </c>
      <c r="B53" s="6" t="str">
        <f>_xlfn.XLOOKUP($A53,Sheet3!$B:$B,Sheet3!D:D)</f>
        <v>重庆市巴蜀中学校</v>
      </c>
      <c r="C53" s="7" t="str">
        <f>_xlfn.XLOOKUP($A53,Sheet3!$B:$B,Sheet3!E:E)</f>
        <v>王燨</v>
      </c>
      <c r="D53" s="6">
        <f>_xlfn.XLOOKUP($A53,Sheet1!$B:$B,Sheet1!H:H)</f>
        <v>12</v>
      </c>
      <c r="E53" s="6">
        <f>_xlfn.XLOOKUP($A53,Sheet1!$B:$B,Sheet1!I:I)</f>
        <v>0</v>
      </c>
      <c r="F53" s="6">
        <f>_xlfn.XLOOKUP($A53,Sheet1!$B:$B,Sheet1!J:J)</f>
        <v>0</v>
      </c>
      <c r="G53" s="6">
        <f>_xlfn.XLOOKUP($A53,Sheet2!$B:$B,Sheet2!H:H)</f>
        <v>100</v>
      </c>
      <c r="H53" s="6">
        <f>_xlfn.XLOOKUP($A53,Sheet2!$B:$B,Sheet2!I:I)</f>
        <v>32</v>
      </c>
      <c r="I53" s="7">
        <f>_xlfn.XLOOKUP($A53,Sheet2!$B:$B,Sheet2!J:J)</f>
        <v>0</v>
      </c>
      <c r="J53" s="8">
        <f>_xlfn.XLOOKUP($A53,Sheet3!$B:$B,Sheet3!H:H)</f>
        <v>84</v>
      </c>
      <c r="K53" s="8">
        <f>_xlfn.XLOOKUP($A53,Sheet3!$B:$B,Sheet3!I:I)</f>
        <v>100</v>
      </c>
      <c r="L53" s="8">
        <f>_xlfn.XLOOKUP($A53,Sheet3!$B:$B,Sheet3!J:J)</f>
        <v>20</v>
      </c>
      <c r="M53" s="8">
        <f>_xlfn.XLOOKUP($A53,Sheet4!$B:$B,Sheet4!H:H)</f>
        <v>100</v>
      </c>
      <c r="N53" s="8">
        <f>_xlfn.XLOOKUP($A53,Sheet4!$B:$B,Sheet4!I:I)</f>
        <v>0</v>
      </c>
      <c r="O53" s="9">
        <f>_xlfn.XLOOKUP($A53,Sheet4!$B:$B,Sheet4!J:J)</f>
        <v>0</v>
      </c>
      <c r="P53" s="8">
        <f>_xlfn.XLOOKUP($A53,Sheet5!$B:$B,Sheet5!H:H)</f>
        <v>90</v>
      </c>
      <c r="Q53" s="8">
        <f>_xlfn.XLOOKUP($A53,Sheet5!$B:$B,Sheet5!I:I)</f>
        <v>66</v>
      </c>
      <c r="R53" s="8">
        <f>_xlfn.XLOOKUP($A53,Sheet5!$B:$B,Sheet5!J:J)</f>
        <v>5</v>
      </c>
      <c r="S53" s="8">
        <f>_xlfn.XLOOKUP($A53,Sheet6!$B:$B,Sheet6!H:H)</f>
        <v>100</v>
      </c>
      <c r="T53" s="8">
        <f>_xlfn.XLOOKUP($A53,Sheet6!$B:$B,Sheet6!I:I)</f>
        <v>100</v>
      </c>
      <c r="U53" s="9">
        <f>_xlfn.XLOOKUP($A53,Sheet6!$B:$B,Sheet6!J:J)</f>
        <v>48</v>
      </c>
      <c r="V53" s="8">
        <f>_xlfn.XLOOKUP($A53,Sheet7!$B:$B,Sheet7!H:H)</f>
        <v>100</v>
      </c>
      <c r="W53" s="8">
        <f>_xlfn.XLOOKUP($A53,Sheet7!$B:$B,Sheet7!I:I)</f>
        <v>90</v>
      </c>
      <c r="X53" s="8">
        <f>_xlfn.XLOOKUP($A53,Sheet7!$B:$B,Sheet7!J:J)</f>
        <v>42</v>
      </c>
      <c r="Y53" s="8">
        <f>_xlfn.XLOOKUP($A53,Sheet8!$B:$B,Sheet8!H:H)</f>
        <v>100</v>
      </c>
      <c r="Z53" s="8">
        <f>_xlfn.XLOOKUP($A53,Sheet8!$B:$B,Sheet8!I:I)</f>
        <v>0</v>
      </c>
      <c r="AA53" s="9">
        <f>_xlfn.XLOOKUP($A53,Sheet8!$B:$B,Sheet8!J:J)</f>
        <v>35</v>
      </c>
      <c r="AB53" s="6">
        <f>_xlfn.XLOOKUP($A53,Sheet1!$B:$B,Sheet1!G:G,0)+_xlfn.XLOOKUP($A53,Sheet2!$B:$B,Sheet2!G:G,0)</f>
        <v>144</v>
      </c>
      <c r="AC53" s="6">
        <f>_xlfn.XLOOKUP($A53,Sheet3!$B:$B,Sheet3!G:G,0)+_xlfn.XLOOKUP($A53,Sheet4!$B:$B,Sheet4!G:G,0)</f>
        <v>304</v>
      </c>
      <c r="AD53" s="6">
        <f>_xlfn.XLOOKUP($A53,Sheet5!$B:$B,Sheet5!G:G,0)+_xlfn.XLOOKUP($A53,Sheet6!$B:$B,Sheet6!G:G,0)</f>
        <v>409</v>
      </c>
      <c r="AE53" s="6">
        <f>_xlfn.XLOOKUP($A53,Sheet7!$B:$B,Sheet7!G:G,0)+_xlfn.XLOOKUP($A53,Sheet8!$B:$B,Sheet8!G:G,0)</f>
        <v>367</v>
      </c>
      <c r="AF53" s="6" cm="1">
        <f t="array" ref="AF53">SUM(IFERROR(AB53:AE53,0))</f>
        <v>1224</v>
      </c>
      <c r="AG53" s="6">
        <f t="shared" si="0"/>
        <v>50</v>
      </c>
    </row>
    <row r="54" spans="1:33" ht="15.6" x14ac:dyDescent="0.3">
      <c r="A54" s="6" t="s">
        <v>135</v>
      </c>
      <c r="B54" s="6" t="str">
        <f>_xlfn.XLOOKUP($A54,Sheet3!$B:$B,Sheet3!D:D)</f>
        <v>北京大学附属中学</v>
      </c>
      <c r="C54" s="7" t="str">
        <f>_xlfn.XLOOKUP($A54,Sheet3!$B:$B,Sheet3!E:E)</f>
        <v>许远正</v>
      </c>
      <c r="D54" s="6">
        <f>_xlfn.XLOOKUP($A54,Sheet1!$B:$B,Sheet1!H:H)</f>
        <v>100</v>
      </c>
      <c r="E54" s="6">
        <f>_xlfn.XLOOKUP($A54,Sheet1!$B:$B,Sheet1!I:I)</f>
        <v>27</v>
      </c>
      <c r="F54" s="6">
        <f>_xlfn.XLOOKUP($A54,Sheet1!$B:$B,Sheet1!J:J)</f>
        <v>18</v>
      </c>
      <c r="G54" s="6">
        <f>_xlfn.XLOOKUP($A54,Sheet2!$B:$B,Sheet2!H:H)</f>
        <v>100</v>
      </c>
      <c r="H54" s="6">
        <f>_xlfn.XLOOKUP($A54,Sheet2!$B:$B,Sheet2!I:I)</f>
        <v>32</v>
      </c>
      <c r="I54" s="7">
        <f>_xlfn.XLOOKUP($A54,Sheet2!$B:$B,Sheet2!J:J)</f>
        <v>25</v>
      </c>
      <c r="J54" s="8">
        <f>_xlfn.XLOOKUP($A54,Sheet3!$B:$B,Sheet3!H:H)</f>
        <v>100</v>
      </c>
      <c r="K54" s="8">
        <f>_xlfn.XLOOKUP($A54,Sheet3!$B:$B,Sheet3!I:I)</f>
        <v>100</v>
      </c>
      <c r="L54" s="8">
        <f>_xlfn.XLOOKUP($A54,Sheet3!$B:$B,Sheet3!J:J)</f>
        <v>40</v>
      </c>
      <c r="M54" s="8">
        <f>_xlfn.XLOOKUP($A54,Sheet4!$B:$B,Sheet4!H:H)</f>
        <v>100</v>
      </c>
      <c r="N54" s="8">
        <f>_xlfn.XLOOKUP($A54,Sheet4!$B:$B,Sheet4!I:I)</f>
        <v>11</v>
      </c>
      <c r="O54" s="9">
        <f>_xlfn.XLOOKUP($A54,Sheet4!$B:$B,Sheet4!J:J)</f>
        <v>12</v>
      </c>
      <c r="P54" s="8">
        <f>_xlfn.XLOOKUP($A54,Sheet5!$B:$B,Sheet5!H:H)</f>
        <v>100</v>
      </c>
      <c r="Q54" s="8">
        <f>_xlfn.XLOOKUP($A54,Sheet5!$B:$B,Sheet5!I:I)</f>
        <v>32</v>
      </c>
      <c r="R54" s="8">
        <f>_xlfn.XLOOKUP($A54,Sheet5!$B:$B,Sheet5!J:J)</f>
        <v>0</v>
      </c>
      <c r="S54" s="8">
        <f>_xlfn.XLOOKUP($A54,Sheet6!$B:$B,Sheet6!H:H)</f>
        <v>100</v>
      </c>
      <c r="T54" s="8">
        <f>_xlfn.XLOOKUP($A54,Sheet6!$B:$B,Sheet6!I:I)</f>
        <v>24</v>
      </c>
      <c r="U54" s="9">
        <f>_xlfn.XLOOKUP($A54,Sheet6!$B:$B,Sheet6!J:J)</f>
        <v>0</v>
      </c>
      <c r="V54" s="8">
        <f>_xlfn.XLOOKUP($A54,Sheet7!$B:$B,Sheet7!H:H)</f>
        <v>100</v>
      </c>
      <c r="W54" s="8">
        <f>_xlfn.XLOOKUP($A54,Sheet7!$B:$B,Sheet7!I:I)</f>
        <v>100</v>
      </c>
      <c r="X54" s="8">
        <f>_xlfn.XLOOKUP($A54,Sheet7!$B:$B,Sheet7!J:J)</f>
        <v>0</v>
      </c>
      <c r="Y54" s="8">
        <f>_xlfn.XLOOKUP($A54,Sheet8!$B:$B,Sheet8!H:H)</f>
        <v>100</v>
      </c>
      <c r="Z54" s="8">
        <f>_xlfn.XLOOKUP($A54,Sheet8!$B:$B,Sheet8!I:I)</f>
        <v>0</v>
      </c>
      <c r="AA54" s="9">
        <f>_xlfn.XLOOKUP($A54,Sheet8!$B:$B,Sheet8!J:J)</f>
        <v>0</v>
      </c>
      <c r="AB54" s="6">
        <f>_xlfn.XLOOKUP($A54,Sheet1!$B:$B,Sheet1!G:G,0)+_xlfn.XLOOKUP($A54,Sheet2!$B:$B,Sheet2!G:G,0)</f>
        <v>302</v>
      </c>
      <c r="AC54" s="6">
        <f>_xlfn.XLOOKUP($A54,Sheet3!$B:$B,Sheet3!G:G,0)+_xlfn.XLOOKUP($A54,Sheet4!$B:$B,Sheet4!G:G,0)</f>
        <v>363</v>
      </c>
      <c r="AD54" s="6">
        <f>_xlfn.XLOOKUP($A54,Sheet5!$B:$B,Sheet5!G:G,0)+_xlfn.XLOOKUP($A54,Sheet6!$B:$B,Sheet6!G:G,0)</f>
        <v>256</v>
      </c>
      <c r="AE54" s="6">
        <f>_xlfn.XLOOKUP($A54,Sheet7!$B:$B,Sheet7!G:G,0)+_xlfn.XLOOKUP($A54,Sheet8!$B:$B,Sheet8!G:G,0)</f>
        <v>300</v>
      </c>
      <c r="AF54" s="6" cm="1">
        <f t="array" ref="AF54">SUM(IFERROR(AB54:AE54,0))</f>
        <v>1221</v>
      </c>
      <c r="AG54" s="6">
        <f t="shared" si="0"/>
        <v>51</v>
      </c>
    </row>
    <row r="55" spans="1:33" ht="15.6" x14ac:dyDescent="0.3">
      <c r="A55" s="6" t="s">
        <v>218</v>
      </c>
      <c r="B55" s="6" t="str">
        <f>_xlfn.XLOOKUP($A55,Sheet3!$B:$B,Sheet3!D:D)</f>
        <v>华南师范大学附属中学</v>
      </c>
      <c r="C55" s="7" t="str">
        <f>_xlfn.XLOOKUP($A55,Sheet3!$B:$B,Sheet3!E:E)</f>
        <v>龚特</v>
      </c>
      <c r="D55" s="6">
        <f>_xlfn.XLOOKUP($A55,Sheet1!$B:$B,Sheet1!H:H)</f>
        <v>100</v>
      </c>
      <c r="E55" s="6">
        <f>_xlfn.XLOOKUP($A55,Sheet1!$B:$B,Sheet1!I:I)</f>
        <v>0</v>
      </c>
      <c r="F55" s="6">
        <f>_xlfn.XLOOKUP($A55,Sheet1!$B:$B,Sheet1!J:J)</f>
        <v>7</v>
      </c>
      <c r="G55" s="6">
        <f>_xlfn.XLOOKUP($A55,Sheet2!$B:$B,Sheet2!H:H)</f>
        <v>100</v>
      </c>
      <c r="H55" s="6">
        <f>_xlfn.XLOOKUP($A55,Sheet2!$B:$B,Sheet2!I:I)</f>
        <v>32</v>
      </c>
      <c r="I55" s="7">
        <f>_xlfn.XLOOKUP($A55,Sheet2!$B:$B,Sheet2!J:J)</f>
        <v>21</v>
      </c>
      <c r="J55" s="8">
        <f>_xlfn.XLOOKUP($A55,Sheet3!$B:$B,Sheet3!H:H)</f>
        <v>100</v>
      </c>
      <c r="K55" s="8">
        <f>_xlfn.XLOOKUP($A55,Sheet3!$B:$B,Sheet3!I:I)</f>
        <v>60</v>
      </c>
      <c r="L55" s="8">
        <f>_xlfn.XLOOKUP($A55,Sheet3!$B:$B,Sheet3!J:J)</f>
        <v>40</v>
      </c>
      <c r="M55" s="8">
        <f>_xlfn.XLOOKUP($A55,Sheet4!$B:$B,Sheet4!H:H)</f>
        <v>100</v>
      </c>
      <c r="N55" s="8">
        <f>_xlfn.XLOOKUP($A55,Sheet4!$B:$B,Sheet4!I:I)</f>
        <v>0</v>
      </c>
      <c r="O55" s="9">
        <f>_xlfn.XLOOKUP($A55,Sheet4!$B:$B,Sheet4!J:J)</f>
        <v>22</v>
      </c>
      <c r="P55" s="8">
        <f>_xlfn.XLOOKUP($A55,Sheet5!$B:$B,Sheet5!H:H)</f>
        <v>100</v>
      </c>
      <c r="Q55" s="8">
        <f>_xlfn.XLOOKUP($A55,Sheet5!$B:$B,Sheet5!I:I)</f>
        <v>48</v>
      </c>
      <c r="R55" s="8">
        <f>_xlfn.XLOOKUP($A55,Sheet5!$B:$B,Sheet5!J:J)</f>
        <v>30</v>
      </c>
      <c r="S55" s="8">
        <f>_xlfn.XLOOKUP($A55,Sheet6!$B:$B,Sheet6!H:H)</f>
        <v>100</v>
      </c>
      <c r="T55" s="8">
        <f>_xlfn.XLOOKUP($A55,Sheet6!$B:$B,Sheet6!I:I)</f>
        <v>36</v>
      </c>
      <c r="U55" s="9">
        <f>_xlfn.XLOOKUP($A55,Sheet6!$B:$B,Sheet6!J:J)</f>
        <v>52</v>
      </c>
      <c r="V55" s="8">
        <f>_xlfn.XLOOKUP($A55,Sheet7!$B:$B,Sheet7!H:H)</f>
        <v>100</v>
      </c>
      <c r="W55" s="8">
        <f>_xlfn.XLOOKUP($A55,Sheet7!$B:$B,Sheet7!I:I)</f>
        <v>10</v>
      </c>
      <c r="X55" s="8">
        <f>_xlfn.XLOOKUP($A55,Sheet7!$B:$B,Sheet7!J:J)</f>
        <v>42</v>
      </c>
      <c r="Y55" s="8">
        <f>_xlfn.XLOOKUP($A55,Sheet8!$B:$B,Sheet8!H:H)</f>
        <v>100</v>
      </c>
      <c r="Z55" s="8">
        <f>_xlfn.XLOOKUP($A55,Sheet8!$B:$B,Sheet8!I:I)</f>
        <v>0</v>
      </c>
      <c r="AA55" s="9">
        <f>_xlfn.XLOOKUP($A55,Sheet8!$B:$B,Sheet8!J:J)</f>
        <v>20</v>
      </c>
      <c r="AB55" s="6">
        <f>_xlfn.XLOOKUP($A55,Sheet1!$B:$B,Sheet1!G:G,0)+_xlfn.XLOOKUP($A55,Sheet2!$B:$B,Sheet2!G:G,0)</f>
        <v>260</v>
      </c>
      <c r="AC55" s="6">
        <f>_xlfn.XLOOKUP($A55,Sheet3!$B:$B,Sheet3!G:G,0)+_xlfn.XLOOKUP($A55,Sheet4!$B:$B,Sheet4!G:G,0)</f>
        <v>322</v>
      </c>
      <c r="AD55" s="6">
        <f>_xlfn.XLOOKUP($A55,Sheet5!$B:$B,Sheet5!G:G,0)+_xlfn.XLOOKUP($A55,Sheet6!$B:$B,Sheet6!G:G,0)</f>
        <v>366</v>
      </c>
      <c r="AE55" s="6">
        <f>_xlfn.XLOOKUP($A55,Sheet7!$B:$B,Sheet7!G:G,0)+_xlfn.XLOOKUP($A55,Sheet8!$B:$B,Sheet8!G:G,0)</f>
        <v>272</v>
      </c>
      <c r="AF55" s="6" cm="1">
        <f t="array" ref="AF55">SUM(IFERROR(AB55:AE55,0))</f>
        <v>1220</v>
      </c>
      <c r="AG55" s="6">
        <f t="shared" si="0"/>
        <v>52</v>
      </c>
    </row>
    <row r="56" spans="1:33" ht="15.6" x14ac:dyDescent="0.3">
      <c r="A56" s="6" t="s">
        <v>83</v>
      </c>
      <c r="B56" s="6" t="str">
        <f>_xlfn.XLOOKUP($A56,Sheet3!$B:$B,Sheet3!D:D)</f>
        <v>福建省厦门第一中学</v>
      </c>
      <c r="C56" s="7" t="str">
        <f>_xlfn.XLOOKUP($A56,Sheet3!$B:$B,Sheet3!E:E)</f>
        <v>张子朴</v>
      </c>
      <c r="D56" s="6">
        <f>_xlfn.XLOOKUP($A56,Sheet1!$B:$B,Sheet1!H:H)</f>
        <v>100</v>
      </c>
      <c r="E56" s="6">
        <f>_xlfn.XLOOKUP($A56,Sheet1!$B:$B,Sheet1!I:I)</f>
        <v>66</v>
      </c>
      <c r="F56" s="6">
        <f>_xlfn.XLOOKUP($A56,Sheet1!$B:$B,Sheet1!J:J)</f>
        <v>0</v>
      </c>
      <c r="G56" s="6">
        <f>_xlfn.XLOOKUP($A56,Sheet2!$B:$B,Sheet2!H:H)</f>
        <v>100</v>
      </c>
      <c r="H56" s="6">
        <f>_xlfn.XLOOKUP($A56,Sheet2!$B:$B,Sheet2!I:I)</f>
        <v>0</v>
      </c>
      <c r="I56" s="7">
        <f>_xlfn.XLOOKUP($A56,Sheet2!$B:$B,Sheet2!J:J)</f>
        <v>100</v>
      </c>
      <c r="J56" s="8">
        <f>_xlfn.XLOOKUP($A56,Sheet3!$B:$B,Sheet3!H:H)</f>
        <v>100</v>
      </c>
      <c r="K56" s="8">
        <f>_xlfn.XLOOKUP($A56,Sheet3!$B:$B,Sheet3!I:I)</f>
        <v>100</v>
      </c>
      <c r="L56" s="8">
        <f>_xlfn.XLOOKUP($A56,Sheet3!$B:$B,Sheet3!J:J)</f>
        <v>40</v>
      </c>
      <c r="M56" s="8">
        <f>_xlfn.XLOOKUP($A56,Sheet4!$B:$B,Sheet4!H:H)</f>
        <v>100</v>
      </c>
      <c r="N56" s="8">
        <f>_xlfn.XLOOKUP($A56,Sheet4!$B:$B,Sheet4!I:I)</f>
        <v>20</v>
      </c>
      <c r="O56" s="9">
        <f>_xlfn.XLOOKUP($A56,Sheet4!$B:$B,Sheet4!J:J)</f>
        <v>1</v>
      </c>
      <c r="P56" s="8">
        <f>_xlfn.XLOOKUP($A56,Sheet5!$B:$B,Sheet5!H:H)</f>
        <v>80</v>
      </c>
      <c r="Q56" s="8">
        <f>_xlfn.XLOOKUP($A56,Sheet5!$B:$B,Sheet5!I:I)</f>
        <v>0</v>
      </c>
      <c r="R56" s="8">
        <f>_xlfn.XLOOKUP($A56,Sheet5!$B:$B,Sheet5!J:J)</f>
        <v>0</v>
      </c>
      <c r="S56" s="8">
        <f>_xlfn.XLOOKUP($A56,Sheet6!$B:$B,Sheet6!H:H)</f>
        <v>100</v>
      </c>
      <c r="T56" s="8">
        <f>_xlfn.XLOOKUP($A56,Sheet6!$B:$B,Sheet6!I:I)</f>
        <v>8</v>
      </c>
      <c r="U56" s="9">
        <f>_xlfn.XLOOKUP($A56,Sheet6!$B:$B,Sheet6!J:J)</f>
        <v>0</v>
      </c>
      <c r="V56" s="8">
        <f>_xlfn.XLOOKUP($A56,Sheet7!$B:$B,Sheet7!H:H)</f>
        <v>100</v>
      </c>
      <c r="W56" s="8">
        <f>_xlfn.XLOOKUP($A56,Sheet7!$B:$B,Sheet7!I:I)</f>
        <v>20</v>
      </c>
      <c r="X56" s="8">
        <f>_xlfn.XLOOKUP($A56,Sheet7!$B:$B,Sheet7!J:J)</f>
        <v>10</v>
      </c>
      <c r="Y56" s="8">
        <f>_xlfn.XLOOKUP($A56,Sheet8!$B:$B,Sheet8!H:H)</f>
        <v>100</v>
      </c>
      <c r="Z56" s="8">
        <f>_xlfn.XLOOKUP($A56,Sheet8!$B:$B,Sheet8!I:I)</f>
        <v>70</v>
      </c>
      <c r="AA56" s="9">
        <f>_xlfn.XLOOKUP($A56,Sheet8!$B:$B,Sheet8!J:J)</f>
        <v>0</v>
      </c>
      <c r="AB56" s="6">
        <f>_xlfn.XLOOKUP($A56,Sheet1!$B:$B,Sheet1!G:G,0)+_xlfn.XLOOKUP($A56,Sheet2!$B:$B,Sheet2!G:G,0)</f>
        <v>366</v>
      </c>
      <c r="AC56" s="6">
        <f>_xlfn.XLOOKUP($A56,Sheet3!$B:$B,Sheet3!G:G,0)+_xlfn.XLOOKUP($A56,Sheet4!$B:$B,Sheet4!G:G,0)</f>
        <v>361</v>
      </c>
      <c r="AD56" s="6">
        <f>_xlfn.XLOOKUP($A56,Sheet5!$B:$B,Sheet5!G:G,0)+_xlfn.XLOOKUP($A56,Sheet6!$B:$B,Sheet6!G:G,0)</f>
        <v>188</v>
      </c>
      <c r="AE56" s="6">
        <f>_xlfn.XLOOKUP($A56,Sheet7!$B:$B,Sheet7!G:G,0)+_xlfn.XLOOKUP($A56,Sheet8!$B:$B,Sheet8!G:G,0)</f>
        <v>300</v>
      </c>
      <c r="AF56" s="6" cm="1">
        <f t="array" ref="AF56">SUM(IFERROR(AB56:AE56,0))</f>
        <v>1215</v>
      </c>
      <c r="AG56" s="6">
        <f t="shared" si="0"/>
        <v>53</v>
      </c>
    </row>
    <row r="57" spans="1:33" ht="15.6" x14ac:dyDescent="0.3">
      <c r="A57" s="6" t="s">
        <v>208</v>
      </c>
      <c r="B57" s="6" t="str">
        <f>_xlfn.XLOOKUP($A57,Sheet3!$B:$B,Sheet3!D:D)</f>
        <v>华南师范大学附属中学</v>
      </c>
      <c r="C57" s="7" t="str">
        <f>_xlfn.XLOOKUP($A57,Sheet3!$B:$B,Sheet3!E:E)</f>
        <v>余飞弦</v>
      </c>
      <c r="D57" s="6">
        <f>_xlfn.XLOOKUP($A57,Sheet1!$B:$B,Sheet1!H:H)</f>
        <v>42</v>
      </c>
      <c r="E57" s="6">
        <f>_xlfn.XLOOKUP($A57,Sheet1!$B:$B,Sheet1!I:I)</f>
        <v>66</v>
      </c>
      <c r="F57" s="6">
        <f>_xlfn.XLOOKUP($A57,Sheet1!$B:$B,Sheet1!J:J)</f>
        <v>0</v>
      </c>
      <c r="G57" s="6">
        <f>_xlfn.XLOOKUP($A57,Sheet2!$B:$B,Sheet2!H:H)</f>
        <v>100</v>
      </c>
      <c r="H57" s="6">
        <f>_xlfn.XLOOKUP($A57,Sheet2!$B:$B,Sheet2!I:I)</f>
        <v>32</v>
      </c>
      <c r="I57" s="7">
        <f>_xlfn.XLOOKUP($A57,Sheet2!$B:$B,Sheet2!J:J)</f>
        <v>15</v>
      </c>
      <c r="J57" s="8">
        <f>_xlfn.XLOOKUP($A57,Sheet3!$B:$B,Sheet3!H:H)</f>
        <v>100</v>
      </c>
      <c r="K57" s="8">
        <f>_xlfn.XLOOKUP($A57,Sheet3!$B:$B,Sheet3!I:I)</f>
        <v>100</v>
      </c>
      <c r="L57" s="8">
        <f>_xlfn.XLOOKUP($A57,Sheet3!$B:$B,Sheet3!J:J)</f>
        <v>20</v>
      </c>
      <c r="M57" s="8">
        <f>_xlfn.XLOOKUP($A57,Sheet4!$B:$B,Sheet4!H:H)</f>
        <v>100</v>
      </c>
      <c r="N57" s="8">
        <f>_xlfn.XLOOKUP($A57,Sheet4!$B:$B,Sheet4!I:I)</f>
        <v>11</v>
      </c>
      <c r="O57" s="9">
        <f>_xlfn.XLOOKUP($A57,Sheet4!$B:$B,Sheet4!J:J)</f>
        <v>22</v>
      </c>
      <c r="P57" s="8">
        <f>_xlfn.XLOOKUP($A57,Sheet5!$B:$B,Sheet5!H:H)</f>
        <v>100</v>
      </c>
      <c r="Q57" s="8">
        <f>_xlfn.XLOOKUP($A57,Sheet5!$B:$B,Sheet5!I:I)</f>
        <v>48</v>
      </c>
      <c r="R57" s="8">
        <f>_xlfn.XLOOKUP($A57,Sheet5!$B:$B,Sheet5!J:J)</f>
        <v>10</v>
      </c>
      <c r="S57" s="8">
        <f>_xlfn.XLOOKUP($A57,Sheet6!$B:$B,Sheet6!H:H)</f>
        <v>100</v>
      </c>
      <c r="T57" s="8">
        <f>_xlfn.XLOOKUP($A57,Sheet6!$B:$B,Sheet6!I:I)</f>
        <v>52</v>
      </c>
      <c r="U57" s="9">
        <f>_xlfn.XLOOKUP($A57,Sheet6!$B:$B,Sheet6!J:J)</f>
        <v>24</v>
      </c>
      <c r="V57" s="8">
        <f>_xlfn.XLOOKUP($A57,Sheet7!$B:$B,Sheet7!H:H)</f>
        <v>100</v>
      </c>
      <c r="W57" s="8">
        <f>_xlfn.XLOOKUP($A57,Sheet7!$B:$B,Sheet7!I:I)</f>
        <v>0</v>
      </c>
      <c r="X57" s="8">
        <f>_xlfn.XLOOKUP($A57,Sheet7!$B:$B,Sheet7!J:J)</f>
        <v>0</v>
      </c>
      <c r="Y57" s="8">
        <f>_xlfn.XLOOKUP($A57,Sheet8!$B:$B,Sheet8!H:H)</f>
        <v>100</v>
      </c>
      <c r="Z57" s="8">
        <f>_xlfn.XLOOKUP($A57,Sheet8!$B:$B,Sheet8!I:I)</f>
        <v>45</v>
      </c>
      <c r="AA57" s="9">
        <f>_xlfn.XLOOKUP($A57,Sheet8!$B:$B,Sheet8!J:J)</f>
        <v>10</v>
      </c>
      <c r="AB57" s="6">
        <f>_xlfn.XLOOKUP($A57,Sheet1!$B:$B,Sheet1!G:G,0)+_xlfn.XLOOKUP($A57,Sheet2!$B:$B,Sheet2!G:G,0)</f>
        <v>255</v>
      </c>
      <c r="AC57" s="6">
        <f>_xlfn.XLOOKUP($A57,Sheet3!$B:$B,Sheet3!G:G,0)+_xlfn.XLOOKUP($A57,Sheet4!$B:$B,Sheet4!G:G,0)</f>
        <v>353</v>
      </c>
      <c r="AD57" s="6">
        <f>_xlfn.XLOOKUP($A57,Sheet5!$B:$B,Sheet5!G:G,0)+_xlfn.XLOOKUP($A57,Sheet6!$B:$B,Sheet6!G:G,0)</f>
        <v>334</v>
      </c>
      <c r="AE57" s="6">
        <f>_xlfn.XLOOKUP($A57,Sheet7!$B:$B,Sheet7!G:G,0)+_xlfn.XLOOKUP($A57,Sheet8!$B:$B,Sheet8!G:G,0)</f>
        <v>255</v>
      </c>
      <c r="AF57" s="6" cm="1">
        <f t="array" ref="AF57">SUM(IFERROR(AB57:AE57,0))</f>
        <v>1197</v>
      </c>
      <c r="AG57" s="6">
        <f t="shared" si="0"/>
        <v>54</v>
      </c>
    </row>
    <row r="58" spans="1:33" ht="15.6" x14ac:dyDescent="0.3">
      <c r="A58" s="6" t="s">
        <v>189</v>
      </c>
      <c r="B58" s="6" t="str">
        <f>_xlfn.XLOOKUP($A58,Sheet3!$B:$B,Sheet3!D:D)</f>
        <v>广东实验中学</v>
      </c>
      <c r="C58" s="7" t="str">
        <f>_xlfn.XLOOKUP($A58,Sheet3!$B:$B,Sheet3!E:E)</f>
        <v>汪嘉睿</v>
      </c>
      <c r="D58" s="6">
        <f>_xlfn.XLOOKUP($A58,Sheet1!$B:$B,Sheet1!H:H)</f>
        <v>100</v>
      </c>
      <c r="E58" s="6">
        <f>_xlfn.XLOOKUP($A58,Sheet1!$B:$B,Sheet1!I:I)</f>
        <v>0</v>
      </c>
      <c r="F58" s="6">
        <f>_xlfn.XLOOKUP($A58,Sheet1!$B:$B,Sheet1!J:J)</f>
        <v>25</v>
      </c>
      <c r="G58" s="6">
        <f>_xlfn.XLOOKUP($A58,Sheet2!$B:$B,Sheet2!H:H)</f>
        <v>100</v>
      </c>
      <c r="H58" s="6">
        <f>_xlfn.XLOOKUP($A58,Sheet2!$B:$B,Sheet2!I:I)</f>
        <v>56</v>
      </c>
      <c r="I58" s="7">
        <f>_xlfn.XLOOKUP($A58,Sheet2!$B:$B,Sheet2!J:J)</f>
        <v>25</v>
      </c>
      <c r="J58" s="8">
        <f>_xlfn.XLOOKUP($A58,Sheet3!$B:$B,Sheet3!H:H)</f>
        <v>93</v>
      </c>
      <c r="K58" s="8">
        <f>_xlfn.XLOOKUP($A58,Sheet3!$B:$B,Sheet3!I:I)</f>
        <v>40</v>
      </c>
      <c r="L58" s="8">
        <f>_xlfn.XLOOKUP($A58,Sheet3!$B:$B,Sheet3!J:J)</f>
        <v>20</v>
      </c>
      <c r="M58" s="8">
        <f>_xlfn.XLOOKUP($A58,Sheet4!$B:$B,Sheet4!H:H)</f>
        <v>100</v>
      </c>
      <c r="N58" s="8">
        <f>_xlfn.XLOOKUP($A58,Sheet4!$B:$B,Sheet4!I:I)</f>
        <v>10</v>
      </c>
      <c r="O58" s="9">
        <f>_xlfn.XLOOKUP($A58,Sheet4!$B:$B,Sheet4!J:J)</f>
        <v>12</v>
      </c>
      <c r="P58" s="8">
        <f>_xlfn.XLOOKUP($A58,Sheet5!$B:$B,Sheet5!H:H)</f>
        <v>100</v>
      </c>
      <c r="Q58" s="8">
        <f>_xlfn.XLOOKUP($A58,Sheet5!$B:$B,Sheet5!I:I)</f>
        <v>58</v>
      </c>
      <c r="R58" s="8">
        <f>_xlfn.XLOOKUP($A58,Sheet5!$B:$B,Sheet5!J:J)</f>
        <v>0</v>
      </c>
      <c r="S58" s="8">
        <f>_xlfn.XLOOKUP($A58,Sheet6!$B:$B,Sheet6!H:H)</f>
        <v>100</v>
      </c>
      <c r="T58" s="8">
        <f>_xlfn.XLOOKUP($A58,Sheet6!$B:$B,Sheet6!I:I)</f>
        <v>100</v>
      </c>
      <c r="U58" s="9">
        <f>_xlfn.XLOOKUP($A58,Sheet6!$B:$B,Sheet6!J:J)</f>
        <v>0</v>
      </c>
      <c r="V58" s="8">
        <f>_xlfn.XLOOKUP($A58,Sheet7!$B:$B,Sheet7!H:H)</f>
        <v>100</v>
      </c>
      <c r="W58" s="8">
        <f>_xlfn.XLOOKUP($A58,Sheet7!$B:$B,Sheet7!I:I)</f>
        <v>10</v>
      </c>
      <c r="X58" s="8">
        <f>_xlfn.XLOOKUP($A58,Sheet7!$B:$B,Sheet7!J:J)</f>
        <v>24</v>
      </c>
      <c r="Y58" s="8">
        <f>_xlfn.XLOOKUP($A58,Sheet8!$B:$B,Sheet8!H:H)</f>
        <v>100</v>
      </c>
      <c r="Z58" s="8">
        <f>_xlfn.XLOOKUP($A58,Sheet8!$B:$B,Sheet8!I:I)</f>
        <v>0</v>
      </c>
      <c r="AA58" s="9">
        <f>_xlfn.XLOOKUP($A58,Sheet8!$B:$B,Sheet8!J:J)</f>
        <v>20</v>
      </c>
      <c r="AB58" s="6">
        <f>_xlfn.XLOOKUP($A58,Sheet1!$B:$B,Sheet1!G:G,0)+_xlfn.XLOOKUP($A58,Sheet2!$B:$B,Sheet2!G:G,0)</f>
        <v>306</v>
      </c>
      <c r="AC58" s="6">
        <f>_xlfn.XLOOKUP($A58,Sheet3!$B:$B,Sheet3!G:G,0)+_xlfn.XLOOKUP($A58,Sheet4!$B:$B,Sheet4!G:G,0)</f>
        <v>275</v>
      </c>
      <c r="AD58" s="6">
        <f>_xlfn.XLOOKUP($A58,Sheet5!$B:$B,Sheet5!G:G,0)+_xlfn.XLOOKUP($A58,Sheet6!$B:$B,Sheet6!G:G,0)</f>
        <v>358</v>
      </c>
      <c r="AE58" s="6">
        <f>_xlfn.XLOOKUP($A58,Sheet7!$B:$B,Sheet7!G:G,0)+_xlfn.XLOOKUP($A58,Sheet8!$B:$B,Sheet8!G:G,0)</f>
        <v>254</v>
      </c>
      <c r="AF58" s="6" cm="1">
        <f t="array" ref="AF58">SUM(IFERROR(AB58:AE58,0))</f>
        <v>1193</v>
      </c>
      <c r="AG58" s="6">
        <f t="shared" si="0"/>
        <v>55</v>
      </c>
    </row>
    <row r="59" spans="1:33" ht="15.6" x14ac:dyDescent="0.3">
      <c r="A59" s="6" t="s">
        <v>246</v>
      </c>
      <c r="B59" s="6" t="str">
        <f>_xlfn.XLOOKUP($A59,Sheet3!$B:$B,Sheet3!D:D)</f>
        <v>中山市中山纪念中学</v>
      </c>
      <c r="C59" s="7" t="str">
        <f>_xlfn.XLOOKUP($A59,Sheet3!$B:$B,Sheet3!E:E)</f>
        <v>邓承羽</v>
      </c>
      <c r="D59" s="6">
        <f>_xlfn.XLOOKUP($A59,Sheet1!$B:$B,Sheet1!H:H)</f>
        <v>100</v>
      </c>
      <c r="E59" s="6">
        <f>_xlfn.XLOOKUP($A59,Sheet1!$B:$B,Sheet1!I:I)</f>
        <v>0</v>
      </c>
      <c r="F59" s="6">
        <f>_xlfn.XLOOKUP($A59,Sheet1!$B:$B,Sheet1!J:J)</f>
        <v>0</v>
      </c>
      <c r="G59" s="6">
        <f>_xlfn.XLOOKUP($A59,Sheet2!$B:$B,Sheet2!H:H)</f>
        <v>100</v>
      </c>
      <c r="H59" s="6">
        <f>_xlfn.XLOOKUP($A59,Sheet2!$B:$B,Sheet2!I:I)</f>
        <v>32</v>
      </c>
      <c r="I59" s="7">
        <f>_xlfn.XLOOKUP($A59,Sheet2!$B:$B,Sheet2!J:J)</f>
        <v>25</v>
      </c>
      <c r="J59" s="8">
        <f>_xlfn.XLOOKUP($A59,Sheet3!$B:$B,Sheet3!H:H)</f>
        <v>100</v>
      </c>
      <c r="K59" s="8">
        <f>_xlfn.XLOOKUP($A59,Sheet3!$B:$B,Sheet3!I:I)</f>
        <v>40</v>
      </c>
      <c r="L59" s="8">
        <f>_xlfn.XLOOKUP($A59,Sheet3!$B:$B,Sheet3!J:J)</f>
        <v>40</v>
      </c>
      <c r="M59" s="8">
        <f>_xlfn.XLOOKUP($A59,Sheet4!$B:$B,Sheet4!H:H)</f>
        <v>100</v>
      </c>
      <c r="N59" s="8">
        <f>_xlfn.XLOOKUP($A59,Sheet4!$B:$B,Sheet4!I:I)</f>
        <v>15</v>
      </c>
      <c r="O59" s="9">
        <f>_xlfn.XLOOKUP($A59,Sheet4!$B:$B,Sheet4!J:J)</f>
        <v>12</v>
      </c>
      <c r="P59" s="8">
        <f>_xlfn.XLOOKUP($A59,Sheet5!$B:$B,Sheet5!H:H)</f>
        <v>100</v>
      </c>
      <c r="Q59" s="8">
        <f>_xlfn.XLOOKUP($A59,Sheet5!$B:$B,Sheet5!I:I)</f>
        <v>48</v>
      </c>
      <c r="R59" s="8">
        <f>_xlfn.XLOOKUP($A59,Sheet5!$B:$B,Sheet5!J:J)</f>
        <v>10</v>
      </c>
      <c r="S59" s="8">
        <f>_xlfn.XLOOKUP($A59,Sheet6!$B:$B,Sheet6!H:H)</f>
        <v>100</v>
      </c>
      <c r="T59" s="8">
        <f>_xlfn.XLOOKUP($A59,Sheet6!$B:$B,Sheet6!I:I)</f>
        <v>44</v>
      </c>
      <c r="U59" s="9">
        <f>_xlfn.XLOOKUP($A59,Sheet6!$B:$B,Sheet6!J:J)</f>
        <v>92</v>
      </c>
      <c r="V59" s="8">
        <f>_xlfn.XLOOKUP($A59,Sheet7!$B:$B,Sheet7!H:H)</f>
        <v>100</v>
      </c>
      <c r="W59" s="8">
        <f>_xlfn.XLOOKUP($A59,Sheet7!$B:$B,Sheet7!I:I)</f>
        <v>10</v>
      </c>
      <c r="X59" s="8">
        <f>_xlfn.XLOOKUP($A59,Sheet7!$B:$B,Sheet7!J:J)</f>
        <v>14</v>
      </c>
      <c r="Y59" s="8">
        <f>_xlfn.XLOOKUP($A59,Sheet8!$B:$B,Sheet8!H:H)</f>
        <v>100</v>
      </c>
      <c r="Z59" s="8">
        <f>_xlfn.XLOOKUP($A59,Sheet8!$B:$B,Sheet8!I:I)</f>
        <v>0</v>
      </c>
      <c r="AA59" s="9">
        <f>_xlfn.XLOOKUP($A59,Sheet8!$B:$B,Sheet8!J:J)</f>
        <v>10</v>
      </c>
      <c r="AB59" s="6">
        <f>_xlfn.XLOOKUP($A59,Sheet1!$B:$B,Sheet1!G:G,0)+_xlfn.XLOOKUP($A59,Sheet2!$B:$B,Sheet2!G:G,0)</f>
        <v>257</v>
      </c>
      <c r="AC59" s="6">
        <f>_xlfn.XLOOKUP($A59,Sheet3!$B:$B,Sheet3!G:G,0)+_xlfn.XLOOKUP($A59,Sheet4!$B:$B,Sheet4!G:G,0)</f>
        <v>307</v>
      </c>
      <c r="AD59" s="6">
        <f>_xlfn.XLOOKUP($A59,Sheet5!$B:$B,Sheet5!G:G,0)+_xlfn.XLOOKUP($A59,Sheet6!$B:$B,Sheet6!G:G,0)</f>
        <v>394</v>
      </c>
      <c r="AE59" s="6">
        <f>_xlfn.XLOOKUP($A59,Sheet7!$B:$B,Sheet7!G:G,0)+_xlfn.XLOOKUP($A59,Sheet8!$B:$B,Sheet8!G:G,0)</f>
        <v>234</v>
      </c>
      <c r="AF59" s="6" cm="1">
        <f t="array" ref="AF59">SUM(IFERROR(AB59:AE59,0))</f>
        <v>1192</v>
      </c>
      <c r="AG59" s="6">
        <f t="shared" si="0"/>
        <v>56</v>
      </c>
    </row>
    <row r="60" spans="1:33" ht="15.6" x14ac:dyDescent="0.3">
      <c r="A60" s="6" t="s">
        <v>202</v>
      </c>
      <c r="B60" s="6" t="str">
        <f>_xlfn.XLOOKUP($A60,Sheet3!$B:$B,Sheet3!D:D)</f>
        <v>广州大学附属中学</v>
      </c>
      <c r="C60" s="7" t="str">
        <f>_xlfn.XLOOKUP($A60,Sheet3!$B:$B,Sheet3!E:E)</f>
        <v>陈瀚熹</v>
      </c>
      <c r="D60" s="6">
        <f>_xlfn.XLOOKUP($A60,Sheet1!$B:$B,Sheet1!H:H)</f>
        <v>24</v>
      </c>
      <c r="E60" s="6">
        <f>_xlfn.XLOOKUP($A60,Sheet1!$B:$B,Sheet1!I:I)</f>
        <v>66</v>
      </c>
      <c r="F60" s="6">
        <f>_xlfn.XLOOKUP($A60,Sheet1!$B:$B,Sheet1!J:J)</f>
        <v>25</v>
      </c>
      <c r="G60" s="6">
        <f>_xlfn.XLOOKUP($A60,Sheet2!$B:$B,Sheet2!H:H)</f>
        <v>100</v>
      </c>
      <c r="H60" s="6">
        <f>_xlfn.XLOOKUP($A60,Sheet2!$B:$B,Sheet2!I:I)</f>
        <v>44</v>
      </c>
      <c r="I60" s="7">
        <f>_xlfn.XLOOKUP($A60,Sheet2!$B:$B,Sheet2!J:J)</f>
        <v>24</v>
      </c>
      <c r="J60" s="8">
        <f>_xlfn.XLOOKUP($A60,Sheet3!$B:$B,Sheet3!H:H)</f>
        <v>100</v>
      </c>
      <c r="K60" s="8">
        <f>_xlfn.XLOOKUP($A60,Sheet3!$B:$B,Sheet3!I:I)</f>
        <v>40</v>
      </c>
      <c r="L60" s="8">
        <f>_xlfn.XLOOKUP($A60,Sheet3!$B:$B,Sheet3!J:J)</f>
        <v>50</v>
      </c>
      <c r="M60" s="8">
        <f>_xlfn.XLOOKUP($A60,Sheet4!$B:$B,Sheet4!H:H)</f>
        <v>100</v>
      </c>
      <c r="N60" s="8">
        <f>_xlfn.XLOOKUP($A60,Sheet4!$B:$B,Sheet4!I:I)</f>
        <v>11</v>
      </c>
      <c r="O60" s="9">
        <f>_xlfn.XLOOKUP($A60,Sheet4!$B:$B,Sheet4!J:J)</f>
        <v>0</v>
      </c>
      <c r="P60" s="8">
        <f>_xlfn.XLOOKUP($A60,Sheet5!$B:$B,Sheet5!H:H)</f>
        <v>100</v>
      </c>
      <c r="Q60" s="8">
        <f>_xlfn.XLOOKUP($A60,Sheet5!$B:$B,Sheet5!I:I)</f>
        <v>58</v>
      </c>
      <c r="R60" s="8">
        <f>_xlfn.XLOOKUP($A60,Sheet5!$B:$B,Sheet5!J:J)</f>
        <v>10</v>
      </c>
      <c r="S60" s="8">
        <f>_xlfn.XLOOKUP($A60,Sheet6!$B:$B,Sheet6!H:H)</f>
        <v>100</v>
      </c>
      <c r="T60" s="8">
        <f>_xlfn.XLOOKUP($A60,Sheet6!$B:$B,Sheet6!I:I)</f>
        <v>100</v>
      </c>
      <c r="U60" s="9">
        <f>_xlfn.XLOOKUP($A60,Sheet6!$B:$B,Sheet6!J:J)</f>
        <v>36</v>
      </c>
      <c r="V60" s="8">
        <f>_xlfn.XLOOKUP($A60,Sheet7!$B:$B,Sheet7!H:H)</f>
        <v>100</v>
      </c>
      <c r="W60" s="8">
        <f>_xlfn.XLOOKUP($A60,Sheet7!$B:$B,Sheet7!I:I)</f>
        <v>90</v>
      </c>
      <c r="X60" s="8">
        <f>_xlfn.XLOOKUP($A60,Sheet7!$B:$B,Sheet7!J:J)</f>
        <v>14</v>
      </c>
      <c r="Y60" s="8" t="e">
        <f>_xlfn.XLOOKUP($A60,Sheet8!$B:$B,Sheet8!H:H)</f>
        <v>#N/A</v>
      </c>
      <c r="Z60" s="8" t="e">
        <f>_xlfn.XLOOKUP($A60,Sheet8!$B:$B,Sheet8!I:I)</f>
        <v>#N/A</v>
      </c>
      <c r="AA60" s="9" t="e">
        <f>_xlfn.XLOOKUP($A60,Sheet8!$B:$B,Sheet8!J:J)</f>
        <v>#N/A</v>
      </c>
      <c r="AB60" s="6">
        <f>_xlfn.XLOOKUP($A60,Sheet1!$B:$B,Sheet1!G:G,0)+_xlfn.XLOOKUP($A60,Sheet2!$B:$B,Sheet2!G:G,0)</f>
        <v>283</v>
      </c>
      <c r="AC60" s="6">
        <f>_xlfn.XLOOKUP($A60,Sheet3!$B:$B,Sheet3!G:G,0)+_xlfn.XLOOKUP($A60,Sheet4!$B:$B,Sheet4!G:G,0)</f>
        <v>301</v>
      </c>
      <c r="AD60" s="6">
        <f>_xlfn.XLOOKUP($A60,Sheet5!$B:$B,Sheet5!G:G,0)+_xlfn.XLOOKUP($A60,Sheet6!$B:$B,Sheet6!G:G,0)</f>
        <v>404</v>
      </c>
      <c r="AE60" s="6">
        <f>_xlfn.XLOOKUP($A60,Sheet7!$B:$B,Sheet7!G:G,0)+_xlfn.XLOOKUP($A60,Sheet8!$B:$B,Sheet8!G:G,0)</f>
        <v>204</v>
      </c>
      <c r="AF60" s="6" cm="1">
        <f t="array" ref="AF60">SUM(IFERROR(AB60:AE60,0))</f>
        <v>1192</v>
      </c>
      <c r="AG60" s="6">
        <f t="shared" si="0"/>
        <v>56</v>
      </c>
    </row>
    <row r="61" spans="1:33" ht="15.6" x14ac:dyDescent="0.3">
      <c r="A61" s="6" t="s">
        <v>225</v>
      </c>
      <c r="B61" s="6">
        <f>_xlfn.XLOOKUP($A61,Sheet3!$B:$B,Sheet3!D:D)</f>
        <v>0</v>
      </c>
      <c r="C61" s="7" t="str">
        <f>_xlfn.XLOOKUP($A61,Sheet3!$B:$B,Sheet3!E:E)</f>
        <v>关永丞</v>
      </c>
      <c r="D61" s="6">
        <f>_xlfn.XLOOKUP($A61,Sheet1!$B:$B,Sheet1!H:H)</f>
        <v>100</v>
      </c>
      <c r="E61" s="6">
        <f>_xlfn.XLOOKUP($A61,Sheet1!$B:$B,Sheet1!I:I)</f>
        <v>0</v>
      </c>
      <c r="F61" s="6">
        <f>_xlfn.XLOOKUP($A61,Sheet1!$B:$B,Sheet1!J:J)</f>
        <v>7</v>
      </c>
      <c r="G61" s="6">
        <f>_xlfn.XLOOKUP($A61,Sheet2!$B:$B,Sheet2!H:H)</f>
        <v>100</v>
      </c>
      <c r="H61" s="6">
        <f>_xlfn.XLOOKUP($A61,Sheet2!$B:$B,Sheet2!I:I)</f>
        <v>0</v>
      </c>
      <c r="I61" s="7">
        <f>_xlfn.XLOOKUP($A61,Sheet2!$B:$B,Sheet2!J:J)</f>
        <v>12</v>
      </c>
      <c r="J61" s="8">
        <f>_xlfn.XLOOKUP($A61,Sheet3!$B:$B,Sheet3!H:H)</f>
        <v>100</v>
      </c>
      <c r="K61" s="8">
        <f>_xlfn.XLOOKUP($A61,Sheet3!$B:$B,Sheet3!I:I)</f>
        <v>60</v>
      </c>
      <c r="L61" s="8">
        <f>_xlfn.XLOOKUP($A61,Sheet3!$B:$B,Sheet3!J:J)</f>
        <v>20</v>
      </c>
      <c r="M61" s="8">
        <f>_xlfn.XLOOKUP($A61,Sheet4!$B:$B,Sheet4!H:H)</f>
        <v>100</v>
      </c>
      <c r="N61" s="8">
        <f>_xlfn.XLOOKUP($A61,Sheet4!$B:$B,Sheet4!I:I)</f>
        <v>11</v>
      </c>
      <c r="O61" s="9">
        <f>_xlfn.XLOOKUP($A61,Sheet4!$B:$B,Sheet4!J:J)</f>
        <v>5</v>
      </c>
      <c r="P61" s="8">
        <f>_xlfn.XLOOKUP($A61,Sheet5!$B:$B,Sheet5!H:H)</f>
        <v>100</v>
      </c>
      <c r="Q61" s="8">
        <f>_xlfn.XLOOKUP($A61,Sheet5!$B:$B,Sheet5!I:I)</f>
        <v>32</v>
      </c>
      <c r="R61" s="8">
        <f>_xlfn.XLOOKUP($A61,Sheet5!$B:$B,Sheet5!J:J)</f>
        <v>10</v>
      </c>
      <c r="S61" s="8">
        <f>_xlfn.XLOOKUP($A61,Sheet6!$B:$B,Sheet6!H:H)</f>
        <v>100</v>
      </c>
      <c r="T61" s="8">
        <f>_xlfn.XLOOKUP($A61,Sheet6!$B:$B,Sheet6!I:I)</f>
        <v>36</v>
      </c>
      <c r="U61" s="9">
        <f>_xlfn.XLOOKUP($A61,Sheet6!$B:$B,Sheet6!J:J)</f>
        <v>88</v>
      </c>
      <c r="V61" s="8">
        <f>_xlfn.XLOOKUP($A61,Sheet7!$B:$B,Sheet7!H:H)</f>
        <v>100</v>
      </c>
      <c r="W61" s="8">
        <f>_xlfn.XLOOKUP($A61,Sheet7!$B:$B,Sheet7!I:I)</f>
        <v>60</v>
      </c>
      <c r="X61" s="8">
        <f>_xlfn.XLOOKUP($A61,Sheet7!$B:$B,Sheet7!J:J)</f>
        <v>24</v>
      </c>
      <c r="Y61" s="8">
        <f>_xlfn.XLOOKUP($A61,Sheet8!$B:$B,Sheet8!H:H)</f>
        <v>100</v>
      </c>
      <c r="Z61" s="8">
        <f>_xlfn.XLOOKUP($A61,Sheet8!$B:$B,Sheet8!I:I)</f>
        <v>0</v>
      </c>
      <c r="AA61" s="9">
        <f>_xlfn.XLOOKUP($A61,Sheet8!$B:$B,Sheet8!J:J)</f>
        <v>20</v>
      </c>
      <c r="AB61" s="6">
        <f>_xlfn.XLOOKUP($A61,Sheet1!$B:$B,Sheet1!G:G,0)+_xlfn.XLOOKUP($A61,Sheet2!$B:$B,Sheet2!G:G,0)</f>
        <v>219</v>
      </c>
      <c r="AC61" s="6">
        <f>_xlfn.XLOOKUP($A61,Sheet3!$B:$B,Sheet3!G:G,0)+_xlfn.XLOOKUP($A61,Sheet4!$B:$B,Sheet4!G:G,0)</f>
        <v>296</v>
      </c>
      <c r="AD61" s="6">
        <f>_xlfn.XLOOKUP($A61,Sheet5!$B:$B,Sheet5!G:G,0)+_xlfn.XLOOKUP($A61,Sheet6!$B:$B,Sheet6!G:G,0)</f>
        <v>366</v>
      </c>
      <c r="AE61" s="6">
        <f>_xlfn.XLOOKUP($A61,Sheet7!$B:$B,Sheet7!G:G,0)+_xlfn.XLOOKUP($A61,Sheet8!$B:$B,Sheet8!G:G,0)</f>
        <v>304</v>
      </c>
      <c r="AF61" s="6" cm="1">
        <f t="array" ref="AF61">SUM(IFERROR(AB61:AE61,0))</f>
        <v>1185</v>
      </c>
      <c r="AG61" s="6">
        <f t="shared" si="0"/>
        <v>58</v>
      </c>
    </row>
    <row r="62" spans="1:33" ht="15.6" x14ac:dyDescent="0.3">
      <c r="A62" s="6" t="s">
        <v>296</v>
      </c>
      <c r="B62" s="6" t="str">
        <f>_xlfn.XLOOKUP($A62,Sheet3!$B:$B,Sheet3!D:D)</f>
        <v>中山市中山纪念中学</v>
      </c>
      <c r="C62" s="7" t="str">
        <f>_xlfn.XLOOKUP($A62,Sheet3!$B:$B,Sheet3!E:E)</f>
        <v>彭炜翔</v>
      </c>
      <c r="D62" s="6">
        <f>_xlfn.XLOOKUP($A62,Sheet1!$B:$B,Sheet1!H:H)</f>
        <v>42</v>
      </c>
      <c r="E62" s="6">
        <f>_xlfn.XLOOKUP($A62,Sheet1!$B:$B,Sheet1!I:I)</f>
        <v>0</v>
      </c>
      <c r="F62" s="6">
        <f>_xlfn.XLOOKUP($A62,Sheet1!$B:$B,Sheet1!J:J)</f>
        <v>16</v>
      </c>
      <c r="G62" s="6">
        <f>_xlfn.XLOOKUP($A62,Sheet2!$B:$B,Sheet2!H:H)</f>
        <v>100</v>
      </c>
      <c r="H62" s="6">
        <f>_xlfn.XLOOKUP($A62,Sheet2!$B:$B,Sheet2!I:I)</f>
        <v>32</v>
      </c>
      <c r="I62" s="7">
        <f>_xlfn.XLOOKUP($A62,Sheet2!$B:$B,Sheet2!J:J)</f>
        <v>20</v>
      </c>
      <c r="J62" s="8">
        <f>_xlfn.XLOOKUP($A62,Sheet3!$B:$B,Sheet3!H:H)</f>
        <v>79</v>
      </c>
      <c r="K62" s="8">
        <f>_xlfn.XLOOKUP($A62,Sheet3!$B:$B,Sheet3!I:I)</f>
        <v>60</v>
      </c>
      <c r="L62" s="8">
        <f>_xlfn.XLOOKUP($A62,Sheet3!$B:$B,Sheet3!J:J)</f>
        <v>30</v>
      </c>
      <c r="M62" s="8">
        <f>_xlfn.XLOOKUP($A62,Sheet4!$B:$B,Sheet4!H:H)</f>
        <v>60</v>
      </c>
      <c r="N62" s="8">
        <f>_xlfn.XLOOKUP($A62,Sheet4!$B:$B,Sheet4!I:I)</f>
        <v>100</v>
      </c>
      <c r="O62" s="9">
        <f>_xlfn.XLOOKUP($A62,Sheet4!$B:$B,Sheet4!J:J)</f>
        <v>5</v>
      </c>
      <c r="P62" s="8">
        <f>_xlfn.XLOOKUP($A62,Sheet5!$B:$B,Sheet5!H:H)</f>
        <v>55</v>
      </c>
      <c r="Q62" s="8">
        <f>_xlfn.XLOOKUP($A62,Sheet5!$B:$B,Sheet5!I:I)</f>
        <v>12</v>
      </c>
      <c r="R62" s="8">
        <f>_xlfn.XLOOKUP($A62,Sheet5!$B:$B,Sheet5!J:J)</f>
        <v>30</v>
      </c>
      <c r="S62" s="8">
        <f>_xlfn.XLOOKUP($A62,Sheet6!$B:$B,Sheet6!H:H)</f>
        <v>100</v>
      </c>
      <c r="T62" s="8">
        <f>_xlfn.XLOOKUP($A62,Sheet6!$B:$B,Sheet6!I:I)</f>
        <v>100</v>
      </c>
      <c r="U62" s="9">
        <f>_xlfn.XLOOKUP($A62,Sheet6!$B:$B,Sheet6!J:J)</f>
        <v>84</v>
      </c>
      <c r="V62" s="8">
        <f>_xlfn.XLOOKUP($A62,Sheet7!$B:$B,Sheet7!H:H)</f>
        <v>100</v>
      </c>
      <c r="W62" s="8">
        <f>_xlfn.XLOOKUP($A62,Sheet7!$B:$B,Sheet7!I:I)</f>
        <v>30</v>
      </c>
      <c r="X62" s="8">
        <f>_xlfn.XLOOKUP($A62,Sheet7!$B:$B,Sheet7!J:J)</f>
        <v>0</v>
      </c>
      <c r="Y62" s="8">
        <f>_xlfn.XLOOKUP($A62,Sheet8!$B:$B,Sheet8!H:H)</f>
        <v>100</v>
      </c>
      <c r="Z62" s="8">
        <f>_xlfn.XLOOKUP($A62,Sheet8!$B:$B,Sheet8!I:I)</f>
        <v>0</v>
      </c>
      <c r="AA62" s="9">
        <f>_xlfn.XLOOKUP($A62,Sheet8!$B:$B,Sheet8!J:J)</f>
        <v>25</v>
      </c>
      <c r="AB62" s="6">
        <f>_xlfn.XLOOKUP($A62,Sheet1!$B:$B,Sheet1!G:G,0)+_xlfn.XLOOKUP($A62,Sheet2!$B:$B,Sheet2!G:G,0)</f>
        <v>210</v>
      </c>
      <c r="AC62" s="6">
        <f>_xlfn.XLOOKUP($A62,Sheet3!$B:$B,Sheet3!G:G,0)+_xlfn.XLOOKUP($A62,Sheet4!$B:$B,Sheet4!G:G,0)</f>
        <v>334</v>
      </c>
      <c r="AD62" s="6">
        <f>_xlfn.XLOOKUP($A62,Sheet5!$B:$B,Sheet5!G:G,0)+_xlfn.XLOOKUP($A62,Sheet6!$B:$B,Sheet6!G:G,0)</f>
        <v>381</v>
      </c>
      <c r="AE62" s="6">
        <f>_xlfn.XLOOKUP($A62,Sheet7!$B:$B,Sheet7!G:G,0)+_xlfn.XLOOKUP($A62,Sheet8!$B:$B,Sheet8!G:G,0)</f>
        <v>255</v>
      </c>
      <c r="AF62" s="6" cm="1">
        <f t="array" ref="AF62">SUM(IFERROR(AB62:AE62,0))</f>
        <v>1180</v>
      </c>
      <c r="AG62" s="6">
        <f t="shared" si="0"/>
        <v>59</v>
      </c>
    </row>
    <row r="63" spans="1:33" ht="15.6" x14ac:dyDescent="0.3">
      <c r="A63" s="6" t="s">
        <v>329</v>
      </c>
      <c r="B63" s="6" t="str">
        <f>_xlfn.XLOOKUP($A63,Sheet3!$B:$B,Sheet3!D:D)</f>
        <v>中山市三鑫学校</v>
      </c>
      <c r="C63" s="7" t="str">
        <f>_xlfn.XLOOKUP($A63,Sheet3!$B:$B,Sheet3!E:E)</f>
        <v>黄子曜</v>
      </c>
      <c r="D63" s="6">
        <f>_xlfn.XLOOKUP($A63,Sheet1!$B:$B,Sheet1!H:H)</f>
        <v>42</v>
      </c>
      <c r="E63" s="6">
        <f>_xlfn.XLOOKUP($A63,Sheet1!$B:$B,Sheet1!I:I)</f>
        <v>0</v>
      </c>
      <c r="F63" s="6">
        <f>_xlfn.XLOOKUP($A63,Sheet1!$B:$B,Sheet1!J:J)</f>
        <v>7</v>
      </c>
      <c r="G63" s="6">
        <f>_xlfn.XLOOKUP($A63,Sheet2!$B:$B,Sheet2!H:H)</f>
        <v>100</v>
      </c>
      <c r="H63" s="6">
        <f>_xlfn.XLOOKUP($A63,Sheet2!$B:$B,Sheet2!I:I)</f>
        <v>32</v>
      </c>
      <c r="I63" s="7">
        <f>_xlfn.XLOOKUP($A63,Sheet2!$B:$B,Sheet2!J:J)</f>
        <v>21</v>
      </c>
      <c r="J63" s="8">
        <f>_xlfn.XLOOKUP($A63,Sheet3!$B:$B,Sheet3!H:H)</f>
        <v>100</v>
      </c>
      <c r="K63" s="8">
        <f>_xlfn.XLOOKUP($A63,Sheet3!$B:$B,Sheet3!I:I)</f>
        <v>60</v>
      </c>
      <c r="L63" s="8">
        <f>_xlfn.XLOOKUP($A63,Sheet3!$B:$B,Sheet3!J:J)</f>
        <v>50</v>
      </c>
      <c r="M63" s="8">
        <f>_xlfn.XLOOKUP($A63,Sheet4!$B:$B,Sheet4!H:H)</f>
        <v>60</v>
      </c>
      <c r="N63" s="8">
        <f>_xlfn.XLOOKUP($A63,Sheet4!$B:$B,Sheet4!I:I)</f>
        <v>11</v>
      </c>
      <c r="O63" s="9">
        <f>_xlfn.XLOOKUP($A63,Sheet4!$B:$B,Sheet4!J:J)</f>
        <v>22</v>
      </c>
      <c r="P63" s="8">
        <f>_xlfn.XLOOKUP($A63,Sheet5!$B:$B,Sheet5!H:H)</f>
        <v>35</v>
      </c>
      <c r="Q63" s="8">
        <f>_xlfn.XLOOKUP($A63,Sheet5!$B:$B,Sheet5!I:I)</f>
        <v>53</v>
      </c>
      <c r="R63" s="8">
        <f>_xlfn.XLOOKUP($A63,Sheet5!$B:$B,Sheet5!J:J)</f>
        <v>0</v>
      </c>
      <c r="S63" s="8">
        <f>_xlfn.XLOOKUP($A63,Sheet6!$B:$B,Sheet6!H:H)</f>
        <v>100</v>
      </c>
      <c r="T63" s="8">
        <f>_xlfn.XLOOKUP($A63,Sheet6!$B:$B,Sheet6!I:I)</f>
        <v>100</v>
      </c>
      <c r="U63" s="9">
        <f>_xlfn.XLOOKUP($A63,Sheet6!$B:$B,Sheet6!J:J)</f>
        <v>72</v>
      </c>
      <c r="V63" s="8">
        <f>_xlfn.XLOOKUP($A63,Sheet7!$B:$B,Sheet7!H:H)</f>
        <v>100</v>
      </c>
      <c r="W63" s="8">
        <f>_xlfn.XLOOKUP($A63,Sheet7!$B:$B,Sheet7!I:I)</f>
        <v>10</v>
      </c>
      <c r="X63" s="8">
        <f>_xlfn.XLOOKUP($A63,Sheet7!$B:$B,Sheet7!J:J)</f>
        <v>84</v>
      </c>
      <c r="Y63" s="8">
        <f>_xlfn.XLOOKUP($A63,Sheet8!$B:$B,Sheet8!H:H)</f>
        <v>100</v>
      </c>
      <c r="Z63" s="8">
        <f>_xlfn.XLOOKUP($A63,Sheet8!$B:$B,Sheet8!I:I)</f>
        <v>15</v>
      </c>
      <c r="AA63" s="9">
        <f>_xlfn.XLOOKUP($A63,Sheet8!$B:$B,Sheet8!J:J)</f>
        <v>0</v>
      </c>
      <c r="AB63" s="6">
        <f>_xlfn.XLOOKUP($A63,Sheet1!$B:$B,Sheet1!G:G,0)+_xlfn.XLOOKUP($A63,Sheet2!$B:$B,Sheet2!G:G,0)</f>
        <v>202</v>
      </c>
      <c r="AC63" s="6">
        <f>_xlfn.XLOOKUP($A63,Sheet3!$B:$B,Sheet3!G:G,0)+_xlfn.XLOOKUP($A63,Sheet4!$B:$B,Sheet4!G:G,0)</f>
        <v>303</v>
      </c>
      <c r="AD63" s="6">
        <f>_xlfn.XLOOKUP($A63,Sheet5!$B:$B,Sheet5!G:G,0)+_xlfn.XLOOKUP($A63,Sheet6!$B:$B,Sheet6!G:G,0)</f>
        <v>360</v>
      </c>
      <c r="AE63" s="6">
        <f>_xlfn.XLOOKUP($A63,Sheet7!$B:$B,Sheet7!G:G,0)+_xlfn.XLOOKUP($A63,Sheet8!$B:$B,Sheet8!G:G,0)</f>
        <v>309</v>
      </c>
      <c r="AF63" s="6" cm="1">
        <f t="array" ref="AF63">SUM(IFERROR(AB63:AE63,0))</f>
        <v>1174</v>
      </c>
      <c r="AG63" s="6">
        <f t="shared" si="0"/>
        <v>60</v>
      </c>
    </row>
    <row r="64" spans="1:33" ht="15.6" x14ac:dyDescent="0.3">
      <c r="A64" s="6" t="s">
        <v>338</v>
      </c>
      <c r="B64" s="6" t="str">
        <f>_xlfn.XLOOKUP($A64,Sheet3!$B:$B,Sheet3!D:D)</f>
        <v>长郡中学</v>
      </c>
      <c r="C64" s="7" t="str">
        <f>_xlfn.XLOOKUP($A64,Sheet3!$B:$B,Sheet3!E:E)</f>
        <v>陈泓睿</v>
      </c>
      <c r="D64" s="6">
        <f>_xlfn.XLOOKUP($A64,Sheet1!$B:$B,Sheet1!H:H)</f>
        <v>42</v>
      </c>
      <c r="E64" s="6">
        <f>_xlfn.XLOOKUP($A64,Sheet1!$B:$B,Sheet1!I:I)</f>
        <v>0</v>
      </c>
      <c r="F64" s="6">
        <f>_xlfn.XLOOKUP($A64,Sheet1!$B:$B,Sheet1!J:J)</f>
        <v>0</v>
      </c>
      <c r="G64" s="6">
        <f>_xlfn.XLOOKUP($A64,Sheet2!$B:$B,Sheet2!H:H)</f>
        <v>100</v>
      </c>
      <c r="H64" s="6">
        <f>_xlfn.XLOOKUP($A64,Sheet2!$B:$B,Sheet2!I:I)</f>
        <v>100</v>
      </c>
      <c r="I64" s="7">
        <f>_xlfn.XLOOKUP($A64,Sheet2!$B:$B,Sheet2!J:J)</f>
        <v>12</v>
      </c>
      <c r="J64" s="8">
        <f>_xlfn.XLOOKUP($A64,Sheet3!$B:$B,Sheet3!H:H)</f>
        <v>38</v>
      </c>
      <c r="K64" s="8">
        <f>_xlfn.XLOOKUP($A64,Sheet3!$B:$B,Sheet3!I:I)</f>
        <v>40</v>
      </c>
      <c r="L64" s="8">
        <f>_xlfn.XLOOKUP($A64,Sheet3!$B:$B,Sheet3!J:J)</f>
        <v>50</v>
      </c>
      <c r="M64" s="8">
        <f>_xlfn.XLOOKUP($A64,Sheet4!$B:$B,Sheet4!H:H)</f>
        <v>100</v>
      </c>
      <c r="N64" s="8">
        <f>_xlfn.XLOOKUP($A64,Sheet4!$B:$B,Sheet4!I:I)</f>
        <v>25</v>
      </c>
      <c r="O64" s="9">
        <f>_xlfn.XLOOKUP($A64,Sheet4!$B:$B,Sheet4!J:J)</f>
        <v>22</v>
      </c>
      <c r="P64" s="8">
        <f>_xlfn.XLOOKUP($A64,Sheet5!$B:$B,Sheet5!H:H)</f>
        <v>100</v>
      </c>
      <c r="Q64" s="8">
        <f>_xlfn.XLOOKUP($A64,Sheet5!$B:$B,Sheet5!I:I)</f>
        <v>48</v>
      </c>
      <c r="R64" s="8">
        <f>_xlfn.XLOOKUP($A64,Sheet5!$B:$B,Sheet5!J:J)</f>
        <v>20</v>
      </c>
      <c r="S64" s="8">
        <f>_xlfn.XLOOKUP($A64,Sheet6!$B:$B,Sheet6!H:H)</f>
        <v>100</v>
      </c>
      <c r="T64" s="8">
        <f>_xlfn.XLOOKUP($A64,Sheet6!$B:$B,Sheet6!I:I)</f>
        <v>60</v>
      </c>
      <c r="U64" s="9">
        <f>_xlfn.XLOOKUP($A64,Sheet6!$B:$B,Sheet6!J:J)</f>
        <v>20</v>
      </c>
      <c r="V64" s="8">
        <f>_xlfn.XLOOKUP($A64,Sheet7!$B:$B,Sheet7!H:H)</f>
        <v>100</v>
      </c>
      <c r="W64" s="8">
        <f>_xlfn.XLOOKUP($A64,Sheet7!$B:$B,Sheet7!I:I)</f>
        <v>50</v>
      </c>
      <c r="X64" s="8">
        <f>_xlfn.XLOOKUP($A64,Sheet7!$B:$B,Sheet7!J:J)</f>
        <v>0</v>
      </c>
      <c r="Y64" s="8">
        <f>_xlfn.XLOOKUP($A64,Sheet8!$B:$B,Sheet8!H:H)</f>
        <v>100</v>
      </c>
      <c r="Z64" s="8">
        <f>_xlfn.XLOOKUP($A64,Sheet8!$B:$B,Sheet8!I:I)</f>
        <v>0</v>
      </c>
      <c r="AA64" s="9">
        <f>_xlfn.XLOOKUP($A64,Sheet8!$B:$B,Sheet8!J:J)</f>
        <v>45</v>
      </c>
      <c r="AB64" s="6">
        <f>_xlfn.XLOOKUP($A64,Sheet1!$B:$B,Sheet1!G:G,0)+_xlfn.XLOOKUP($A64,Sheet2!$B:$B,Sheet2!G:G,0)</f>
        <v>254</v>
      </c>
      <c r="AC64" s="6">
        <f>_xlfn.XLOOKUP($A64,Sheet3!$B:$B,Sheet3!G:G,0)+_xlfn.XLOOKUP($A64,Sheet4!$B:$B,Sheet4!G:G,0)</f>
        <v>275</v>
      </c>
      <c r="AD64" s="6">
        <f>_xlfn.XLOOKUP($A64,Sheet5!$B:$B,Sheet5!G:G,0)+_xlfn.XLOOKUP($A64,Sheet6!$B:$B,Sheet6!G:G,0)</f>
        <v>348</v>
      </c>
      <c r="AE64" s="6">
        <f>_xlfn.XLOOKUP($A64,Sheet7!$B:$B,Sheet7!G:G,0)+_xlfn.XLOOKUP($A64,Sheet8!$B:$B,Sheet8!G:G,0)</f>
        <v>295</v>
      </c>
      <c r="AF64" s="6" cm="1">
        <f t="array" ref="AF64">SUM(IFERROR(AB64:AE64,0))</f>
        <v>1172</v>
      </c>
      <c r="AG64" s="6">
        <f t="shared" si="0"/>
        <v>61</v>
      </c>
    </row>
    <row r="65" spans="1:33" ht="15.6" x14ac:dyDescent="0.3">
      <c r="A65" s="6" t="s">
        <v>73</v>
      </c>
      <c r="B65" s="6" t="str">
        <f>_xlfn.XLOOKUP($A65,Sheet3!$B:$B,Sheet3!D:D)</f>
        <v>北京大学附属中学</v>
      </c>
      <c r="C65" s="7" t="str">
        <f>_xlfn.XLOOKUP($A65,Sheet3!$B:$B,Sheet3!E:E)</f>
        <v>黄子怀</v>
      </c>
      <c r="D65" s="6">
        <f>_xlfn.XLOOKUP($A65,Sheet1!$B:$B,Sheet1!H:H)</f>
        <v>100</v>
      </c>
      <c r="E65" s="6">
        <f>_xlfn.XLOOKUP($A65,Sheet1!$B:$B,Sheet1!I:I)</f>
        <v>66</v>
      </c>
      <c r="F65" s="6">
        <f>_xlfn.XLOOKUP($A65,Sheet1!$B:$B,Sheet1!J:J)</f>
        <v>16</v>
      </c>
      <c r="G65" s="6">
        <f>_xlfn.XLOOKUP($A65,Sheet2!$B:$B,Sheet2!H:H)</f>
        <v>100</v>
      </c>
      <c r="H65" s="6">
        <f>_xlfn.XLOOKUP($A65,Sheet2!$B:$B,Sheet2!I:I)</f>
        <v>0</v>
      </c>
      <c r="I65" s="7">
        <f>_xlfn.XLOOKUP($A65,Sheet2!$B:$B,Sheet2!J:J)</f>
        <v>0</v>
      </c>
      <c r="J65" s="8">
        <f>_xlfn.XLOOKUP($A65,Sheet3!$B:$B,Sheet3!H:H)</f>
        <v>88</v>
      </c>
      <c r="K65" s="8">
        <f>_xlfn.XLOOKUP($A65,Sheet3!$B:$B,Sheet3!I:I)</f>
        <v>60</v>
      </c>
      <c r="L65" s="8">
        <f>_xlfn.XLOOKUP($A65,Sheet3!$B:$B,Sheet3!J:J)</f>
        <v>40</v>
      </c>
      <c r="M65" s="8">
        <f>_xlfn.XLOOKUP($A65,Sheet4!$B:$B,Sheet4!H:H)</f>
        <v>100</v>
      </c>
      <c r="N65" s="8">
        <f>_xlfn.XLOOKUP($A65,Sheet4!$B:$B,Sheet4!I:I)</f>
        <v>11</v>
      </c>
      <c r="O65" s="9">
        <f>_xlfn.XLOOKUP($A65,Sheet4!$B:$B,Sheet4!J:J)</f>
        <v>1</v>
      </c>
      <c r="P65" s="8">
        <f>_xlfn.XLOOKUP($A65,Sheet5!$B:$B,Sheet5!H:H)</f>
        <v>100</v>
      </c>
      <c r="Q65" s="8">
        <f>_xlfn.XLOOKUP($A65,Sheet5!$B:$B,Sheet5!I:I)</f>
        <v>32</v>
      </c>
      <c r="R65" s="8">
        <f>_xlfn.XLOOKUP($A65,Sheet5!$B:$B,Sheet5!J:J)</f>
        <v>0</v>
      </c>
      <c r="S65" s="8">
        <f>_xlfn.XLOOKUP($A65,Sheet6!$B:$B,Sheet6!H:H)</f>
        <v>100</v>
      </c>
      <c r="T65" s="8">
        <f>_xlfn.XLOOKUP($A65,Sheet6!$B:$B,Sheet6!I:I)</f>
        <v>100</v>
      </c>
      <c r="U65" s="9">
        <f>_xlfn.XLOOKUP($A65,Sheet6!$B:$B,Sheet6!J:J)</f>
        <v>24</v>
      </c>
      <c r="V65" s="8">
        <f>_xlfn.XLOOKUP($A65,Sheet7!$B:$B,Sheet7!H:H)</f>
        <v>100</v>
      </c>
      <c r="W65" s="8">
        <f>_xlfn.XLOOKUP($A65,Sheet7!$B:$B,Sheet7!I:I)</f>
        <v>30</v>
      </c>
      <c r="X65" s="8">
        <f>_xlfn.XLOOKUP($A65,Sheet7!$B:$B,Sheet7!J:J)</f>
        <v>0</v>
      </c>
      <c r="Y65" s="8">
        <f>_xlfn.XLOOKUP($A65,Sheet8!$B:$B,Sheet8!H:H)</f>
        <v>100</v>
      </c>
      <c r="Z65" s="8">
        <f>_xlfn.XLOOKUP($A65,Sheet8!$B:$B,Sheet8!I:I)</f>
        <v>0</v>
      </c>
      <c r="AA65" s="9">
        <f>_xlfn.XLOOKUP($A65,Sheet8!$B:$B,Sheet8!J:J)</f>
        <v>0</v>
      </c>
      <c r="AB65" s="6">
        <f>_xlfn.XLOOKUP($A65,Sheet1!$B:$B,Sheet1!G:G,0)+_xlfn.XLOOKUP($A65,Sheet2!$B:$B,Sheet2!G:G,0)</f>
        <v>282</v>
      </c>
      <c r="AC65" s="6">
        <f>_xlfn.XLOOKUP($A65,Sheet3!$B:$B,Sheet3!G:G,0)+_xlfn.XLOOKUP($A65,Sheet4!$B:$B,Sheet4!G:G,0)</f>
        <v>300</v>
      </c>
      <c r="AD65" s="6">
        <f>_xlfn.XLOOKUP($A65,Sheet5!$B:$B,Sheet5!G:G,0)+_xlfn.XLOOKUP($A65,Sheet6!$B:$B,Sheet6!G:G,0)</f>
        <v>356</v>
      </c>
      <c r="AE65" s="6">
        <f>_xlfn.XLOOKUP($A65,Sheet7!$B:$B,Sheet7!G:G,0)+_xlfn.XLOOKUP($A65,Sheet8!$B:$B,Sheet8!G:G,0)</f>
        <v>230</v>
      </c>
      <c r="AF65" s="6" cm="1">
        <f t="array" ref="AF65">SUM(IFERROR(AB65:AE65,0))</f>
        <v>1168</v>
      </c>
      <c r="AG65" s="6">
        <f t="shared" si="0"/>
        <v>62</v>
      </c>
    </row>
    <row r="66" spans="1:33" ht="15.6" x14ac:dyDescent="0.3">
      <c r="A66" s="6" t="s">
        <v>110</v>
      </c>
      <c r="B66" s="6" t="str">
        <f>_xlfn.XLOOKUP($A66,Sheet3!$B:$B,Sheet3!D:D)</f>
        <v>北京市十一学校</v>
      </c>
      <c r="C66" s="7" t="str">
        <f>_xlfn.XLOOKUP($A66,Sheet3!$B:$B,Sheet3!E:E)</f>
        <v>陈信允</v>
      </c>
      <c r="D66" s="6">
        <f>_xlfn.XLOOKUP($A66,Sheet1!$B:$B,Sheet1!H:H)</f>
        <v>100</v>
      </c>
      <c r="E66" s="6">
        <f>_xlfn.XLOOKUP($A66,Sheet1!$B:$B,Sheet1!I:I)</f>
        <v>42</v>
      </c>
      <c r="F66" s="6">
        <f>_xlfn.XLOOKUP($A66,Sheet1!$B:$B,Sheet1!J:J)</f>
        <v>7</v>
      </c>
      <c r="G66" s="6">
        <f>_xlfn.XLOOKUP($A66,Sheet2!$B:$B,Sheet2!H:H)</f>
        <v>100</v>
      </c>
      <c r="H66" s="6">
        <f>_xlfn.XLOOKUP($A66,Sheet2!$B:$B,Sheet2!I:I)</f>
        <v>0</v>
      </c>
      <c r="I66" s="7">
        <f>_xlfn.XLOOKUP($A66,Sheet2!$B:$B,Sheet2!J:J)</f>
        <v>25</v>
      </c>
      <c r="J66" s="8">
        <f>_xlfn.XLOOKUP($A66,Sheet3!$B:$B,Sheet3!H:H)</f>
        <v>100</v>
      </c>
      <c r="K66" s="8">
        <f>_xlfn.XLOOKUP($A66,Sheet3!$B:$B,Sheet3!I:I)</f>
        <v>100</v>
      </c>
      <c r="L66" s="8">
        <f>_xlfn.XLOOKUP($A66,Sheet3!$B:$B,Sheet3!J:J)</f>
        <v>40</v>
      </c>
      <c r="M66" s="8">
        <f>_xlfn.XLOOKUP($A66,Sheet4!$B:$B,Sheet4!H:H)</f>
        <v>60</v>
      </c>
      <c r="N66" s="8">
        <f>_xlfn.XLOOKUP($A66,Sheet4!$B:$B,Sheet4!I:I)</f>
        <v>10</v>
      </c>
      <c r="O66" s="9">
        <f>_xlfn.XLOOKUP($A66,Sheet4!$B:$B,Sheet4!J:J)</f>
        <v>0</v>
      </c>
      <c r="P66" s="8">
        <f>_xlfn.XLOOKUP($A66,Sheet5!$B:$B,Sheet5!H:H)</f>
        <v>100</v>
      </c>
      <c r="Q66" s="8">
        <f>_xlfn.XLOOKUP($A66,Sheet5!$B:$B,Sheet5!I:I)</f>
        <v>58</v>
      </c>
      <c r="R66" s="8">
        <f>_xlfn.XLOOKUP($A66,Sheet5!$B:$B,Sheet5!J:J)</f>
        <v>0</v>
      </c>
      <c r="S66" s="8">
        <f>_xlfn.XLOOKUP($A66,Sheet6!$B:$B,Sheet6!H:H)</f>
        <v>100</v>
      </c>
      <c r="T66" s="8">
        <f>_xlfn.XLOOKUP($A66,Sheet6!$B:$B,Sheet6!I:I)</f>
        <v>60</v>
      </c>
      <c r="U66" s="9">
        <f>_xlfn.XLOOKUP($A66,Sheet6!$B:$B,Sheet6!J:J)</f>
        <v>0</v>
      </c>
      <c r="V66" s="8">
        <f>_xlfn.XLOOKUP($A66,Sheet7!$B:$B,Sheet7!H:H)</f>
        <v>100</v>
      </c>
      <c r="W66" s="8">
        <f>_xlfn.XLOOKUP($A66,Sheet7!$B:$B,Sheet7!I:I)</f>
        <v>60</v>
      </c>
      <c r="X66" s="8">
        <f>_xlfn.XLOOKUP($A66,Sheet7!$B:$B,Sheet7!J:J)</f>
        <v>0</v>
      </c>
      <c r="Y66" s="8">
        <f>_xlfn.XLOOKUP($A66,Sheet8!$B:$B,Sheet8!H:H)</f>
        <v>100</v>
      </c>
      <c r="Z66" s="8">
        <f>_xlfn.XLOOKUP($A66,Sheet8!$B:$B,Sheet8!I:I)</f>
        <v>0</v>
      </c>
      <c r="AA66" s="9">
        <f>_xlfn.XLOOKUP($A66,Sheet8!$B:$B,Sheet8!J:J)</f>
        <v>0</v>
      </c>
      <c r="AB66" s="6">
        <f>_xlfn.XLOOKUP($A66,Sheet1!$B:$B,Sheet1!G:G,0)+_xlfn.XLOOKUP($A66,Sheet2!$B:$B,Sheet2!G:G,0)</f>
        <v>274</v>
      </c>
      <c r="AC66" s="6">
        <f>_xlfn.XLOOKUP($A66,Sheet3!$B:$B,Sheet3!G:G,0)+_xlfn.XLOOKUP($A66,Sheet4!$B:$B,Sheet4!G:G,0)</f>
        <v>310</v>
      </c>
      <c r="AD66" s="6">
        <f>_xlfn.XLOOKUP($A66,Sheet5!$B:$B,Sheet5!G:G,0)+_xlfn.XLOOKUP($A66,Sheet6!$B:$B,Sheet6!G:G,0)</f>
        <v>318</v>
      </c>
      <c r="AE66" s="6">
        <f>_xlfn.XLOOKUP($A66,Sheet7!$B:$B,Sheet7!G:G,0)+_xlfn.XLOOKUP($A66,Sheet8!$B:$B,Sheet8!G:G,0)</f>
        <v>260</v>
      </c>
      <c r="AF66" s="6" cm="1">
        <f t="array" ref="AF66">SUM(IFERROR(AB66:AE66,0))</f>
        <v>1162</v>
      </c>
      <c r="AG66" s="6">
        <f t="shared" si="0"/>
        <v>63</v>
      </c>
    </row>
    <row r="67" spans="1:33" ht="15.6" x14ac:dyDescent="0.3">
      <c r="A67" s="6" t="s">
        <v>277</v>
      </c>
      <c r="B67" s="6" t="str">
        <f>_xlfn.XLOOKUP($A67,Sheet3!$B:$B,Sheet3!D:D)</f>
        <v>浙江省诸暨市海亮高级中学</v>
      </c>
      <c r="C67" s="7" t="str">
        <f>_xlfn.XLOOKUP($A67,Sheet3!$B:$B,Sheet3!E:E)</f>
        <v>边逸城</v>
      </c>
      <c r="D67" s="6">
        <f>_xlfn.XLOOKUP($A67,Sheet1!$B:$B,Sheet1!H:H)</f>
        <v>33</v>
      </c>
      <c r="E67" s="6">
        <f>_xlfn.XLOOKUP($A67,Sheet1!$B:$B,Sheet1!I:I)</f>
        <v>42</v>
      </c>
      <c r="F67" s="6">
        <f>_xlfn.XLOOKUP($A67,Sheet1!$B:$B,Sheet1!J:J)</f>
        <v>7</v>
      </c>
      <c r="G67" s="6">
        <f>_xlfn.XLOOKUP($A67,Sheet2!$B:$B,Sheet2!H:H)</f>
        <v>100</v>
      </c>
      <c r="H67" s="6">
        <f>_xlfn.XLOOKUP($A67,Sheet2!$B:$B,Sheet2!I:I)</f>
        <v>32</v>
      </c>
      <c r="I67" s="7">
        <f>_xlfn.XLOOKUP($A67,Sheet2!$B:$B,Sheet2!J:J)</f>
        <v>34</v>
      </c>
      <c r="J67" s="8">
        <f>_xlfn.XLOOKUP($A67,Sheet3!$B:$B,Sheet3!H:H)</f>
        <v>84</v>
      </c>
      <c r="K67" s="8">
        <f>_xlfn.XLOOKUP($A67,Sheet3!$B:$B,Sheet3!I:I)</f>
        <v>100</v>
      </c>
      <c r="L67" s="8">
        <f>_xlfn.XLOOKUP($A67,Sheet3!$B:$B,Sheet3!J:J)</f>
        <v>10</v>
      </c>
      <c r="M67" s="8">
        <f>_xlfn.XLOOKUP($A67,Sheet4!$B:$B,Sheet4!H:H)</f>
        <v>100</v>
      </c>
      <c r="N67" s="8">
        <f>_xlfn.XLOOKUP($A67,Sheet4!$B:$B,Sheet4!I:I)</f>
        <v>11</v>
      </c>
      <c r="O67" s="9">
        <f>_xlfn.XLOOKUP($A67,Sheet4!$B:$B,Sheet4!J:J)</f>
        <v>5</v>
      </c>
      <c r="P67" s="8">
        <f>_xlfn.XLOOKUP($A67,Sheet5!$B:$B,Sheet5!H:H)</f>
        <v>100</v>
      </c>
      <c r="Q67" s="8">
        <f>_xlfn.XLOOKUP($A67,Sheet5!$B:$B,Sheet5!I:I)</f>
        <v>32</v>
      </c>
      <c r="R67" s="8">
        <f>_xlfn.XLOOKUP($A67,Sheet5!$B:$B,Sheet5!J:J)</f>
        <v>10</v>
      </c>
      <c r="S67" s="8">
        <f>_xlfn.XLOOKUP($A67,Sheet6!$B:$B,Sheet6!H:H)</f>
        <v>100</v>
      </c>
      <c r="T67" s="8">
        <f>_xlfn.XLOOKUP($A67,Sheet6!$B:$B,Sheet6!I:I)</f>
        <v>36</v>
      </c>
      <c r="U67" s="9">
        <f>_xlfn.XLOOKUP($A67,Sheet6!$B:$B,Sheet6!J:J)</f>
        <v>100</v>
      </c>
      <c r="V67" s="8">
        <f>_xlfn.XLOOKUP($A67,Sheet7!$B:$B,Sheet7!H:H)</f>
        <v>100</v>
      </c>
      <c r="W67" s="8">
        <f>_xlfn.XLOOKUP($A67,Sheet7!$B:$B,Sheet7!I:I)</f>
        <v>10</v>
      </c>
      <c r="X67" s="8">
        <f>_xlfn.XLOOKUP($A67,Sheet7!$B:$B,Sheet7!J:J)</f>
        <v>14</v>
      </c>
      <c r="Y67" s="8">
        <f>_xlfn.XLOOKUP($A67,Sheet8!$B:$B,Sheet8!H:H)</f>
        <v>100</v>
      </c>
      <c r="Z67" s="8">
        <f>_xlfn.XLOOKUP($A67,Sheet8!$B:$B,Sheet8!I:I)</f>
        <v>0</v>
      </c>
      <c r="AA67" s="9">
        <f>_xlfn.XLOOKUP($A67,Sheet8!$B:$B,Sheet8!J:J)</f>
        <v>0</v>
      </c>
      <c r="AB67" s="6">
        <f>_xlfn.XLOOKUP($A67,Sheet1!$B:$B,Sheet1!G:G,0)+_xlfn.XLOOKUP($A67,Sheet2!$B:$B,Sheet2!G:G,0)</f>
        <v>248</v>
      </c>
      <c r="AC67" s="6">
        <f>_xlfn.XLOOKUP($A67,Sheet3!$B:$B,Sheet3!G:G,0)+_xlfn.XLOOKUP($A67,Sheet4!$B:$B,Sheet4!G:G,0)</f>
        <v>310</v>
      </c>
      <c r="AD67" s="6">
        <f>_xlfn.XLOOKUP($A67,Sheet5!$B:$B,Sheet5!G:G,0)+_xlfn.XLOOKUP($A67,Sheet6!$B:$B,Sheet6!G:G,0)</f>
        <v>378</v>
      </c>
      <c r="AE67" s="6">
        <f>_xlfn.XLOOKUP($A67,Sheet7!$B:$B,Sheet7!G:G,0)+_xlfn.XLOOKUP($A67,Sheet8!$B:$B,Sheet8!G:G,0)</f>
        <v>224</v>
      </c>
      <c r="AF67" s="6" cm="1">
        <f t="array" ref="AF67">SUM(IFERROR(AB67:AE67,0))</f>
        <v>1160</v>
      </c>
      <c r="AG67" s="6">
        <f t="shared" si="0"/>
        <v>64</v>
      </c>
    </row>
    <row r="68" spans="1:33" ht="15.6" x14ac:dyDescent="0.3">
      <c r="A68" s="6" t="s">
        <v>385</v>
      </c>
      <c r="B68" s="6" t="str">
        <f>_xlfn.XLOOKUP($A68,Sheet3!$B:$B,Sheet3!D:D)</f>
        <v>广州市铁一中学</v>
      </c>
      <c r="C68" s="7" t="str">
        <f>_xlfn.XLOOKUP($A68,Sheet3!$B:$B,Sheet3!E:E)</f>
        <v>陈可佳</v>
      </c>
      <c r="D68" s="6">
        <f>_xlfn.XLOOKUP($A68,Sheet1!$B:$B,Sheet1!H:H)</f>
        <v>24</v>
      </c>
      <c r="E68" s="6">
        <f>_xlfn.XLOOKUP($A68,Sheet1!$B:$B,Sheet1!I:I)</f>
        <v>0</v>
      </c>
      <c r="F68" s="6">
        <f>_xlfn.XLOOKUP($A68,Sheet1!$B:$B,Sheet1!J:J)</f>
        <v>7</v>
      </c>
      <c r="G68" s="6">
        <f>_xlfn.XLOOKUP($A68,Sheet2!$B:$B,Sheet2!H:H)</f>
        <v>100</v>
      </c>
      <c r="H68" s="6">
        <f>_xlfn.XLOOKUP($A68,Sheet2!$B:$B,Sheet2!I:I)</f>
        <v>44</v>
      </c>
      <c r="I68" s="7">
        <f>_xlfn.XLOOKUP($A68,Sheet2!$B:$B,Sheet2!J:J)</f>
        <v>0</v>
      </c>
      <c r="J68" s="8">
        <f>_xlfn.XLOOKUP($A68,Sheet3!$B:$B,Sheet3!H:H)</f>
        <v>100</v>
      </c>
      <c r="K68" s="8">
        <f>_xlfn.XLOOKUP($A68,Sheet3!$B:$B,Sheet3!I:I)</f>
        <v>100</v>
      </c>
      <c r="L68" s="8">
        <f>_xlfn.XLOOKUP($A68,Sheet3!$B:$B,Sheet3!J:J)</f>
        <v>20</v>
      </c>
      <c r="M68" s="8">
        <f>_xlfn.XLOOKUP($A68,Sheet4!$B:$B,Sheet4!H:H)</f>
        <v>30</v>
      </c>
      <c r="N68" s="8">
        <f>_xlfn.XLOOKUP($A68,Sheet4!$B:$B,Sheet4!I:I)</f>
        <v>0</v>
      </c>
      <c r="O68" s="9">
        <f>_xlfn.XLOOKUP($A68,Sheet4!$B:$B,Sheet4!J:J)</f>
        <v>12</v>
      </c>
      <c r="P68" s="8">
        <f>_xlfn.XLOOKUP($A68,Sheet5!$B:$B,Sheet5!H:H)</f>
        <v>100</v>
      </c>
      <c r="Q68" s="8">
        <f>_xlfn.XLOOKUP($A68,Sheet5!$B:$B,Sheet5!I:I)</f>
        <v>8</v>
      </c>
      <c r="R68" s="8">
        <f>_xlfn.XLOOKUP($A68,Sheet5!$B:$B,Sheet5!J:J)</f>
        <v>0</v>
      </c>
      <c r="S68" s="8">
        <f>_xlfn.XLOOKUP($A68,Sheet6!$B:$B,Sheet6!H:H)</f>
        <v>100</v>
      </c>
      <c r="T68" s="8">
        <f>_xlfn.XLOOKUP($A68,Sheet6!$B:$B,Sheet6!I:I)</f>
        <v>100</v>
      </c>
      <c r="U68" s="9">
        <f>_xlfn.XLOOKUP($A68,Sheet6!$B:$B,Sheet6!J:J)</f>
        <v>100</v>
      </c>
      <c r="V68" s="8">
        <f>_xlfn.XLOOKUP($A68,Sheet7!$B:$B,Sheet7!H:H)</f>
        <v>100</v>
      </c>
      <c r="W68" s="8">
        <f>_xlfn.XLOOKUP($A68,Sheet7!$B:$B,Sheet7!I:I)</f>
        <v>0</v>
      </c>
      <c r="X68" s="8">
        <f>_xlfn.XLOOKUP($A68,Sheet7!$B:$B,Sheet7!J:J)</f>
        <v>42</v>
      </c>
      <c r="Y68" s="8">
        <f>_xlfn.XLOOKUP($A68,Sheet8!$B:$B,Sheet8!H:H)</f>
        <v>100</v>
      </c>
      <c r="Z68" s="8">
        <f>_xlfn.XLOOKUP($A68,Sheet8!$B:$B,Sheet8!I:I)</f>
        <v>65</v>
      </c>
      <c r="AA68" s="9">
        <f>_xlfn.XLOOKUP($A68,Sheet8!$B:$B,Sheet8!J:J)</f>
        <v>0</v>
      </c>
      <c r="AB68" s="6">
        <f>_xlfn.XLOOKUP($A68,Sheet1!$B:$B,Sheet1!G:G,0)+_xlfn.XLOOKUP($A68,Sheet2!$B:$B,Sheet2!G:G,0)</f>
        <v>175</v>
      </c>
      <c r="AC68" s="6">
        <f>_xlfn.XLOOKUP($A68,Sheet3!$B:$B,Sheet3!G:G,0)+_xlfn.XLOOKUP($A68,Sheet4!$B:$B,Sheet4!G:G,0)</f>
        <v>262</v>
      </c>
      <c r="AD68" s="6">
        <f>_xlfn.XLOOKUP($A68,Sheet5!$B:$B,Sheet5!G:G,0)+_xlfn.XLOOKUP($A68,Sheet6!$B:$B,Sheet6!G:G,0)</f>
        <v>408</v>
      </c>
      <c r="AE68" s="6">
        <f>_xlfn.XLOOKUP($A68,Sheet7!$B:$B,Sheet7!G:G,0)+_xlfn.XLOOKUP($A68,Sheet8!$B:$B,Sheet8!G:G,0)</f>
        <v>307</v>
      </c>
      <c r="AF68" s="6" cm="1">
        <f t="array" ref="AF68">SUM(IFERROR(AB68:AE68,0))</f>
        <v>1152</v>
      </c>
      <c r="AG68" s="6">
        <f t="shared" si="0"/>
        <v>65</v>
      </c>
    </row>
    <row r="69" spans="1:33" ht="15.6" x14ac:dyDescent="0.3">
      <c r="A69" s="6" t="s">
        <v>374</v>
      </c>
      <c r="B69" s="6" t="str">
        <f>_xlfn.XLOOKUP($A69,Sheet3!$B:$B,Sheet3!D:D)</f>
        <v>重庆市巴蜀中学校</v>
      </c>
      <c r="C69" s="7" t="str">
        <f>_xlfn.XLOOKUP($A69,Sheet3!$B:$B,Sheet3!E:E)</f>
        <v>李劭鸿</v>
      </c>
      <c r="D69" s="6">
        <f>_xlfn.XLOOKUP($A69,Sheet1!$B:$B,Sheet1!H:H)</f>
        <v>24</v>
      </c>
      <c r="E69" s="6">
        <f>_xlfn.XLOOKUP($A69,Sheet1!$B:$B,Sheet1!I:I)</f>
        <v>0</v>
      </c>
      <c r="F69" s="6">
        <f>_xlfn.XLOOKUP($A69,Sheet1!$B:$B,Sheet1!J:J)</f>
        <v>7</v>
      </c>
      <c r="G69" s="6">
        <f>_xlfn.XLOOKUP($A69,Sheet2!$B:$B,Sheet2!H:H)</f>
        <v>100</v>
      </c>
      <c r="H69" s="6">
        <f>_xlfn.XLOOKUP($A69,Sheet2!$B:$B,Sheet2!I:I)</f>
        <v>56</v>
      </c>
      <c r="I69" s="7">
        <f>_xlfn.XLOOKUP($A69,Sheet2!$B:$B,Sheet2!J:J)</f>
        <v>34</v>
      </c>
      <c r="J69" s="8">
        <f>_xlfn.XLOOKUP($A69,Sheet3!$B:$B,Sheet3!H:H)</f>
        <v>79</v>
      </c>
      <c r="K69" s="8">
        <f>_xlfn.XLOOKUP($A69,Sheet3!$B:$B,Sheet3!I:I)</f>
        <v>60</v>
      </c>
      <c r="L69" s="8">
        <f>_xlfn.XLOOKUP($A69,Sheet3!$B:$B,Sheet3!J:J)</f>
        <v>50</v>
      </c>
      <c r="M69" s="8">
        <f>_xlfn.XLOOKUP($A69,Sheet4!$B:$B,Sheet4!H:H)</f>
        <v>10</v>
      </c>
      <c r="N69" s="8">
        <f>_xlfn.XLOOKUP($A69,Sheet4!$B:$B,Sheet4!I:I)</f>
        <v>0</v>
      </c>
      <c r="O69" s="9">
        <f>_xlfn.XLOOKUP($A69,Sheet4!$B:$B,Sheet4!J:J)</f>
        <v>22</v>
      </c>
      <c r="P69" s="8">
        <f>_xlfn.XLOOKUP($A69,Sheet5!$B:$B,Sheet5!H:H)</f>
        <v>100</v>
      </c>
      <c r="Q69" s="8">
        <f>_xlfn.XLOOKUP($A69,Sheet5!$B:$B,Sheet5!I:I)</f>
        <v>35</v>
      </c>
      <c r="R69" s="8">
        <f>_xlfn.XLOOKUP($A69,Sheet5!$B:$B,Sheet5!J:J)</f>
        <v>0</v>
      </c>
      <c r="S69" s="8">
        <f>_xlfn.XLOOKUP($A69,Sheet6!$B:$B,Sheet6!H:H)</f>
        <v>100</v>
      </c>
      <c r="T69" s="8">
        <f>_xlfn.XLOOKUP($A69,Sheet6!$B:$B,Sheet6!I:I)</f>
        <v>100</v>
      </c>
      <c r="U69" s="9">
        <f>_xlfn.XLOOKUP($A69,Sheet6!$B:$B,Sheet6!J:J)</f>
        <v>100</v>
      </c>
      <c r="V69" s="8">
        <f>_xlfn.XLOOKUP($A69,Sheet7!$B:$B,Sheet7!H:H)</f>
        <v>100</v>
      </c>
      <c r="W69" s="8">
        <f>_xlfn.XLOOKUP($A69,Sheet7!$B:$B,Sheet7!I:I)</f>
        <v>10</v>
      </c>
      <c r="X69" s="8">
        <f>_xlfn.XLOOKUP($A69,Sheet7!$B:$B,Sheet7!J:J)</f>
        <v>42</v>
      </c>
      <c r="Y69" s="8">
        <f>_xlfn.XLOOKUP($A69,Sheet8!$B:$B,Sheet8!H:H)</f>
        <v>100</v>
      </c>
      <c r="Z69" s="8">
        <f>_xlfn.XLOOKUP($A69,Sheet8!$B:$B,Sheet8!I:I)</f>
        <v>0</v>
      </c>
      <c r="AA69" s="9">
        <f>_xlfn.XLOOKUP($A69,Sheet8!$B:$B,Sheet8!J:J)</f>
        <v>10</v>
      </c>
      <c r="AB69" s="6">
        <f>_xlfn.XLOOKUP($A69,Sheet1!$B:$B,Sheet1!G:G,0)+_xlfn.XLOOKUP($A69,Sheet2!$B:$B,Sheet2!G:G,0)</f>
        <v>221</v>
      </c>
      <c r="AC69" s="6">
        <f>_xlfn.XLOOKUP($A69,Sheet3!$B:$B,Sheet3!G:G,0)+_xlfn.XLOOKUP($A69,Sheet4!$B:$B,Sheet4!G:G,0)</f>
        <v>221</v>
      </c>
      <c r="AD69" s="6">
        <f>_xlfn.XLOOKUP($A69,Sheet5!$B:$B,Sheet5!G:G,0)+_xlfn.XLOOKUP($A69,Sheet6!$B:$B,Sheet6!G:G,0)</f>
        <v>435</v>
      </c>
      <c r="AE69" s="6">
        <f>_xlfn.XLOOKUP($A69,Sheet7!$B:$B,Sheet7!G:G,0)+_xlfn.XLOOKUP($A69,Sheet8!$B:$B,Sheet8!G:G,0)</f>
        <v>262</v>
      </c>
      <c r="AF69" s="6" cm="1">
        <f t="array" ref="AF69">SUM(IFERROR(AB69:AE69,0))</f>
        <v>1139</v>
      </c>
      <c r="AG69" s="6">
        <f t="shared" ref="AG69:AG132" si="1">RANK(AF69, $AF$4:$AF$166)</f>
        <v>66</v>
      </c>
    </row>
    <row r="70" spans="1:33" ht="15.6" x14ac:dyDescent="0.3">
      <c r="A70" s="6" t="s">
        <v>102</v>
      </c>
      <c r="B70" s="6" t="str">
        <f>_xlfn.XLOOKUP($A70,Sheet3!$B:$B,Sheet3!D:D)</f>
        <v>清远市广铁一中（万科城）外国语学校</v>
      </c>
      <c r="C70" s="7" t="str">
        <f>_xlfn.XLOOKUP($A70,Sheet3!$B:$B,Sheet3!E:E)</f>
        <v>马明轩</v>
      </c>
      <c r="D70" s="6">
        <f>_xlfn.XLOOKUP($A70,Sheet1!$B:$B,Sheet1!H:H)</f>
        <v>100</v>
      </c>
      <c r="E70" s="6">
        <f>_xlfn.XLOOKUP($A70,Sheet1!$B:$B,Sheet1!I:I)</f>
        <v>27</v>
      </c>
      <c r="F70" s="6">
        <f>_xlfn.XLOOKUP($A70,Sheet1!$B:$B,Sheet1!J:J)</f>
        <v>25</v>
      </c>
      <c r="G70" s="6">
        <f>_xlfn.XLOOKUP($A70,Sheet2!$B:$B,Sheet2!H:H)</f>
        <v>100</v>
      </c>
      <c r="H70" s="6">
        <f>_xlfn.XLOOKUP($A70,Sheet2!$B:$B,Sheet2!I:I)</f>
        <v>20</v>
      </c>
      <c r="I70" s="7">
        <f>_xlfn.XLOOKUP($A70,Sheet2!$B:$B,Sheet2!J:J)</f>
        <v>21</v>
      </c>
      <c r="J70" s="8">
        <f>_xlfn.XLOOKUP($A70,Sheet3!$B:$B,Sheet3!H:H)</f>
        <v>100</v>
      </c>
      <c r="K70" s="8">
        <f>_xlfn.XLOOKUP($A70,Sheet3!$B:$B,Sheet3!I:I)</f>
        <v>100</v>
      </c>
      <c r="L70" s="8">
        <f>_xlfn.XLOOKUP($A70,Sheet3!$B:$B,Sheet3!J:J)</f>
        <v>40</v>
      </c>
      <c r="M70" s="8">
        <f>_xlfn.XLOOKUP($A70,Sheet4!$B:$B,Sheet4!H:H)</f>
        <v>20</v>
      </c>
      <c r="N70" s="8">
        <f>_xlfn.XLOOKUP($A70,Sheet4!$B:$B,Sheet4!I:I)</f>
        <v>26</v>
      </c>
      <c r="O70" s="9">
        <f>_xlfn.XLOOKUP($A70,Sheet4!$B:$B,Sheet4!J:J)</f>
        <v>0</v>
      </c>
      <c r="P70" s="8">
        <f>_xlfn.XLOOKUP($A70,Sheet5!$B:$B,Sheet5!H:H)</f>
        <v>100</v>
      </c>
      <c r="Q70" s="8">
        <f>_xlfn.XLOOKUP($A70,Sheet5!$B:$B,Sheet5!I:I)</f>
        <v>0</v>
      </c>
      <c r="R70" s="8">
        <f>_xlfn.XLOOKUP($A70,Sheet5!$B:$B,Sheet5!J:J)</f>
        <v>5</v>
      </c>
      <c r="S70" s="8">
        <f>_xlfn.XLOOKUP($A70,Sheet6!$B:$B,Sheet6!H:H)</f>
        <v>100</v>
      </c>
      <c r="T70" s="8">
        <f>_xlfn.XLOOKUP($A70,Sheet6!$B:$B,Sheet6!I:I)</f>
        <v>100</v>
      </c>
      <c r="U70" s="9">
        <f>_xlfn.XLOOKUP($A70,Sheet6!$B:$B,Sheet6!J:J)</f>
        <v>8</v>
      </c>
      <c r="V70" s="8">
        <f>_xlfn.XLOOKUP($A70,Sheet7!$B:$B,Sheet7!H:H)</f>
        <v>100</v>
      </c>
      <c r="W70" s="8">
        <f>_xlfn.XLOOKUP($A70,Sheet7!$B:$B,Sheet7!I:I)</f>
        <v>30</v>
      </c>
      <c r="X70" s="8">
        <f>_xlfn.XLOOKUP($A70,Sheet7!$B:$B,Sheet7!J:J)</f>
        <v>0</v>
      </c>
      <c r="Y70" s="8">
        <f>_xlfn.XLOOKUP($A70,Sheet8!$B:$B,Sheet8!H:H)</f>
        <v>100</v>
      </c>
      <c r="Z70" s="8">
        <f>_xlfn.XLOOKUP($A70,Sheet8!$B:$B,Sheet8!I:I)</f>
        <v>0</v>
      </c>
      <c r="AA70" s="9">
        <f>_xlfn.XLOOKUP($A70,Sheet8!$B:$B,Sheet8!J:J)</f>
        <v>0</v>
      </c>
      <c r="AB70" s="6">
        <f>_xlfn.XLOOKUP($A70,Sheet1!$B:$B,Sheet1!G:G,0)+_xlfn.XLOOKUP($A70,Sheet2!$B:$B,Sheet2!G:G,0)</f>
        <v>293</v>
      </c>
      <c r="AC70" s="6">
        <f>_xlfn.XLOOKUP($A70,Sheet3!$B:$B,Sheet3!G:G,0)+_xlfn.XLOOKUP($A70,Sheet4!$B:$B,Sheet4!G:G,0)</f>
        <v>286</v>
      </c>
      <c r="AD70" s="6">
        <f>_xlfn.XLOOKUP($A70,Sheet5!$B:$B,Sheet5!G:G,0)+_xlfn.XLOOKUP($A70,Sheet6!$B:$B,Sheet6!G:G,0)</f>
        <v>313</v>
      </c>
      <c r="AE70" s="6">
        <f>_xlfn.XLOOKUP($A70,Sheet7!$B:$B,Sheet7!G:G,0)+_xlfn.XLOOKUP($A70,Sheet8!$B:$B,Sheet8!G:G,0)</f>
        <v>230</v>
      </c>
      <c r="AF70" s="6" cm="1">
        <f t="array" ref="AF70">SUM(IFERROR(AB70:AE70,0))</f>
        <v>1122</v>
      </c>
      <c r="AG70" s="6">
        <f t="shared" si="1"/>
        <v>67</v>
      </c>
    </row>
    <row r="71" spans="1:33" ht="15.6" x14ac:dyDescent="0.3">
      <c r="A71" s="6" t="s">
        <v>310</v>
      </c>
      <c r="B71" s="6" t="str">
        <f>_xlfn.XLOOKUP($A71,Sheet3!$B:$B,Sheet3!D:D)</f>
        <v>深圳中学</v>
      </c>
      <c r="C71" s="7" t="str">
        <f>_xlfn.XLOOKUP($A71,Sheet3!$B:$B,Sheet3!E:E)</f>
        <v>伍佳鑫</v>
      </c>
      <c r="D71" s="6">
        <f>_xlfn.XLOOKUP($A71,Sheet1!$B:$B,Sheet1!H:H)</f>
        <v>42</v>
      </c>
      <c r="E71" s="6">
        <f>_xlfn.XLOOKUP($A71,Sheet1!$B:$B,Sheet1!I:I)</f>
        <v>0</v>
      </c>
      <c r="F71" s="6">
        <f>_xlfn.XLOOKUP($A71,Sheet1!$B:$B,Sheet1!J:J)</f>
        <v>7</v>
      </c>
      <c r="G71" s="6">
        <f>_xlfn.XLOOKUP($A71,Sheet2!$B:$B,Sheet2!H:H)</f>
        <v>100</v>
      </c>
      <c r="H71" s="6">
        <f>_xlfn.XLOOKUP($A71,Sheet2!$B:$B,Sheet2!I:I)</f>
        <v>44</v>
      </c>
      <c r="I71" s="7">
        <f>_xlfn.XLOOKUP($A71,Sheet2!$B:$B,Sheet2!J:J)</f>
        <v>34</v>
      </c>
      <c r="J71" s="8">
        <f>_xlfn.XLOOKUP($A71,Sheet3!$B:$B,Sheet3!H:H)</f>
        <v>51</v>
      </c>
      <c r="K71" s="8">
        <f>_xlfn.XLOOKUP($A71,Sheet3!$B:$B,Sheet3!I:I)</f>
        <v>100</v>
      </c>
      <c r="L71" s="8">
        <f>_xlfn.XLOOKUP($A71,Sheet3!$B:$B,Sheet3!J:J)</f>
        <v>20</v>
      </c>
      <c r="M71" s="8">
        <f>_xlfn.XLOOKUP($A71,Sheet4!$B:$B,Sheet4!H:H)</f>
        <v>100</v>
      </c>
      <c r="N71" s="8">
        <f>_xlfn.XLOOKUP($A71,Sheet4!$B:$B,Sheet4!I:I)</f>
        <v>11</v>
      </c>
      <c r="O71" s="9">
        <f>_xlfn.XLOOKUP($A71,Sheet4!$B:$B,Sheet4!J:J)</f>
        <v>5</v>
      </c>
      <c r="P71" s="8">
        <f>_xlfn.XLOOKUP($A71,Sheet5!$B:$B,Sheet5!H:H)</f>
        <v>100</v>
      </c>
      <c r="Q71" s="8">
        <f>_xlfn.XLOOKUP($A71,Sheet5!$B:$B,Sheet5!I:I)</f>
        <v>32</v>
      </c>
      <c r="R71" s="8">
        <f>_xlfn.XLOOKUP($A71,Sheet5!$B:$B,Sheet5!J:J)</f>
        <v>30</v>
      </c>
      <c r="S71" s="8">
        <f>_xlfn.XLOOKUP($A71,Sheet6!$B:$B,Sheet6!H:H)</f>
        <v>100</v>
      </c>
      <c r="T71" s="8">
        <f>_xlfn.XLOOKUP($A71,Sheet6!$B:$B,Sheet6!I:I)</f>
        <v>44</v>
      </c>
      <c r="U71" s="9">
        <f>_xlfn.XLOOKUP($A71,Sheet6!$B:$B,Sheet6!J:J)</f>
        <v>36</v>
      </c>
      <c r="V71" s="8">
        <f>_xlfn.XLOOKUP($A71,Sheet7!$B:$B,Sheet7!H:H)</f>
        <v>100</v>
      </c>
      <c r="W71" s="8">
        <f>_xlfn.XLOOKUP($A71,Sheet7!$B:$B,Sheet7!I:I)</f>
        <v>10</v>
      </c>
      <c r="X71" s="8">
        <f>_xlfn.XLOOKUP($A71,Sheet7!$B:$B,Sheet7!J:J)</f>
        <v>18</v>
      </c>
      <c r="Y71" s="8">
        <f>_xlfn.XLOOKUP($A71,Sheet8!$B:$B,Sheet8!H:H)</f>
        <v>100</v>
      </c>
      <c r="Z71" s="8">
        <f>_xlfn.XLOOKUP($A71,Sheet8!$B:$B,Sheet8!I:I)</f>
        <v>0</v>
      </c>
      <c r="AA71" s="9">
        <f>_xlfn.XLOOKUP($A71,Sheet8!$B:$B,Sheet8!J:J)</f>
        <v>25</v>
      </c>
      <c r="AB71" s="6">
        <f>_xlfn.XLOOKUP($A71,Sheet1!$B:$B,Sheet1!G:G,0)+_xlfn.XLOOKUP($A71,Sheet2!$B:$B,Sheet2!G:G,0)</f>
        <v>227</v>
      </c>
      <c r="AC71" s="6">
        <f>_xlfn.XLOOKUP($A71,Sheet3!$B:$B,Sheet3!G:G,0)+_xlfn.XLOOKUP($A71,Sheet4!$B:$B,Sheet4!G:G,0)</f>
        <v>287</v>
      </c>
      <c r="AD71" s="6">
        <f>_xlfn.XLOOKUP($A71,Sheet5!$B:$B,Sheet5!G:G,0)+_xlfn.XLOOKUP($A71,Sheet6!$B:$B,Sheet6!G:G,0)</f>
        <v>342</v>
      </c>
      <c r="AE71" s="6">
        <f>_xlfn.XLOOKUP($A71,Sheet7!$B:$B,Sheet7!G:G,0)+_xlfn.XLOOKUP($A71,Sheet8!$B:$B,Sheet8!G:G,0)</f>
        <v>253</v>
      </c>
      <c r="AF71" s="6" cm="1">
        <f t="array" ref="AF71">SUM(IFERROR(AB71:AE71,0))</f>
        <v>1109</v>
      </c>
      <c r="AG71" s="6">
        <f t="shared" si="1"/>
        <v>68</v>
      </c>
    </row>
    <row r="72" spans="1:33" ht="15.6" x14ac:dyDescent="0.3">
      <c r="A72" s="6" t="s">
        <v>427</v>
      </c>
      <c r="B72" s="6" t="str">
        <f>_xlfn.XLOOKUP($A72,Sheet3!$B:$B,Sheet3!D:D)</f>
        <v>重庆市第八中学校</v>
      </c>
      <c r="C72" s="7" t="str">
        <f>_xlfn.XLOOKUP($A72,Sheet3!$B:$B,Sheet3!E:E)</f>
        <v>陶治霖</v>
      </c>
      <c r="D72" s="6">
        <f>_xlfn.XLOOKUP($A72,Sheet1!$B:$B,Sheet1!H:H)</f>
        <v>24</v>
      </c>
      <c r="E72" s="6">
        <f>_xlfn.XLOOKUP($A72,Sheet1!$B:$B,Sheet1!I:I)</f>
        <v>0</v>
      </c>
      <c r="F72" s="6">
        <f>_xlfn.XLOOKUP($A72,Sheet1!$B:$B,Sheet1!J:J)</f>
        <v>0</v>
      </c>
      <c r="G72" s="6">
        <f>_xlfn.XLOOKUP($A72,Sheet2!$B:$B,Sheet2!H:H)</f>
        <v>100</v>
      </c>
      <c r="H72" s="6">
        <f>_xlfn.XLOOKUP($A72,Sheet2!$B:$B,Sheet2!I:I)</f>
        <v>32</v>
      </c>
      <c r="I72" s="7">
        <f>_xlfn.XLOOKUP($A72,Sheet2!$B:$B,Sheet2!J:J)</f>
        <v>0</v>
      </c>
      <c r="J72" s="8">
        <f>_xlfn.XLOOKUP($A72,Sheet3!$B:$B,Sheet3!H:H)</f>
        <v>84</v>
      </c>
      <c r="K72" s="8">
        <f>_xlfn.XLOOKUP($A72,Sheet3!$B:$B,Sheet3!I:I)</f>
        <v>40</v>
      </c>
      <c r="L72" s="8">
        <f>_xlfn.XLOOKUP($A72,Sheet3!$B:$B,Sheet3!J:J)</f>
        <v>40</v>
      </c>
      <c r="M72" s="8">
        <f>_xlfn.XLOOKUP($A72,Sheet4!$B:$B,Sheet4!H:H)</f>
        <v>60</v>
      </c>
      <c r="N72" s="8">
        <f>_xlfn.XLOOKUP($A72,Sheet4!$B:$B,Sheet4!I:I)</f>
        <v>10</v>
      </c>
      <c r="O72" s="9">
        <f>_xlfn.XLOOKUP($A72,Sheet4!$B:$B,Sheet4!J:J)</f>
        <v>22</v>
      </c>
      <c r="P72" s="8">
        <f>_xlfn.XLOOKUP($A72,Sheet5!$B:$B,Sheet5!H:H)</f>
        <v>100</v>
      </c>
      <c r="Q72" s="8">
        <f>_xlfn.XLOOKUP($A72,Sheet5!$B:$B,Sheet5!I:I)</f>
        <v>32</v>
      </c>
      <c r="R72" s="8">
        <f>_xlfn.XLOOKUP($A72,Sheet5!$B:$B,Sheet5!J:J)</f>
        <v>30</v>
      </c>
      <c r="S72" s="8">
        <f>_xlfn.XLOOKUP($A72,Sheet6!$B:$B,Sheet6!H:H)</f>
        <v>100</v>
      </c>
      <c r="T72" s="8">
        <f>_xlfn.XLOOKUP($A72,Sheet6!$B:$B,Sheet6!I:I)</f>
        <v>100</v>
      </c>
      <c r="U72" s="9">
        <f>_xlfn.XLOOKUP($A72,Sheet6!$B:$B,Sheet6!J:J)</f>
        <v>52</v>
      </c>
      <c r="V72" s="8">
        <f>_xlfn.XLOOKUP($A72,Sheet7!$B:$B,Sheet7!H:H)</f>
        <v>100</v>
      </c>
      <c r="W72" s="8">
        <f>_xlfn.XLOOKUP($A72,Sheet7!$B:$B,Sheet7!I:I)</f>
        <v>0</v>
      </c>
      <c r="X72" s="8">
        <f>_xlfn.XLOOKUP($A72,Sheet7!$B:$B,Sheet7!J:J)</f>
        <v>24</v>
      </c>
      <c r="Y72" s="8">
        <f>_xlfn.XLOOKUP($A72,Sheet8!$B:$B,Sheet8!H:H)</f>
        <v>100</v>
      </c>
      <c r="Z72" s="8">
        <f>_xlfn.XLOOKUP($A72,Sheet8!$B:$B,Sheet8!I:I)</f>
        <v>45</v>
      </c>
      <c r="AA72" s="9">
        <f>_xlfn.XLOOKUP($A72,Sheet8!$B:$B,Sheet8!J:J)</f>
        <v>10</v>
      </c>
      <c r="AB72" s="6">
        <f>_xlfn.XLOOKUP($A72,Sheet1!$B:$B,Sheet1!G:G,0)+_xlfn.XLOOKUP($A72,Sheet2!$B:$B,Sheet2!G:G,0)</f>
        <v>156</v>
      </c>
      <c r="AC72" s="6">
        <f>_xlfn.XLOOKUP($A72,Sheet3!$B:$B,Sheet3!G:G,0)+_xlfn.XLOOKUP($A72,Sheet4!$B:$B,Sheet4!G:G,0)</f>
        <v>256</v>
      </c>
      <c r="AD72" s="6">
        <f>_xlfn.XLOOKUP($A72,Sheet5!$B:$B,Sheet5!G:G,0)+_xlfn.XLOOKUP($A72,Sheet6!$B:$B,Sheet6!G:G,0)</f>
        <v>414</v>
      </c>
      <c r="AE72" s="6">
        <f>_xlfn.XLOOKUP($A72,Sheet7!$B:$B,Sheet7!G:G,0)+_xlfn.XLOOKUP($A72,Sheet8!$B:$B,Sheet8!G:G,0)</f>
        <v>279</v>
      </c>
      <c r="AF72" s="6" cm="1">
        <f t="array" ref="AF72">SUM(IFERROR(AB72:AE72,0))</f>
        <v>1105</v>
      </c>
      <c r="AG72" s="6">
        <f t="shared" si="1"/>
        <v>69</v>
      </c>
    </row>
    <row r="73" spans="1:33" ht="15.6" x14ac:dyDescent="0.3">
      <c r="A73" s="6" t="s">
        <v>113</v>
      </c>
      <c r="B73" s="6" t="str">
        <f>_xlfn.XLOOKUP($A73,Sheet3!$B:$B,Sheet3!D:D)</f>
        <v>浙江省诸暨市海亮高级中学</v>
      </c>
      <c r="C73" s="7" t="str">
        <f>_xlfn.XLOOKUP($A73,Sheet3!$B:$B,Sheet3!E:E)</f>
        <v>谢汝瑜</v>
      </c>
      <c r="D73" s="6">
        <f>_xlfn.XLOOKUP($A73,Sheet1!$B:$B,Sheet1!H:H)</f>
        <v>100</v>
      </c>
      <c r="E73" s="6">
        <f>_xlfn.XLOOKUP($A73,Sheet1!$B:$B,Sheet1!I:I)</f>
        <v>42</v>
      </c>
      <c r="F73" s="6">
        <f>_xlfn.XLOOKUP($A73,Sheet1!$B:$B,Sheet1!J:J)</f>
        <v>7</v>
      </c>
      <c r="G73" s="6">
        <f>_xlfn.XLOOKUP($A73,Sheet2!$B:$B,Sheet2!H:H)</f>
        <v>100</v>
      </c>
      <c r="H73" s="6">
        <f>_xlfn.XLOOKUP($A73,Sheet2!$B:$B,Sheet2!I:I)</f>
        <v>44</v>
      </c>
      <c r="I73" s="7">
        <f>_xlfn.XLOOKUP($A73,Sheet2!$B:$B,Sheet2!J:J)</f>
        <v>25</v>
      </c>
      <c r="J73" s="8">
        <f>_xlfn.XLOOKUP($A73,Sheet3!$B:$B,Sheet3!H:H)</f>
        <v>84</v>
      </c>
      <c r="K73" s="8">
        <f>_xlfn.XLOOKUP($A73,Sheet3!$B:$B,Sheet3!I:I)</f>
        <v>40</v>
      </c>
      <c r="L73" s="8">
        <f>_xlfn.XLOOKUP($A73,Sheet3!$B:$B,Sheet3!J:J)</f>
        <v>40</v>
      </c>
      <c r="M73" s="8">
        <f>_xlfn.XLOOKUP($A73,Sheet4!$B:$B,Sheet4!H:H)</f>
        <v>30</v>
      </c>
      <c r="N73" s="8">
        <f>_xlfn.XLOOKUP($A73,Sheet4!$B:$B,Sheet4!I:I)</f>
        <v>85</v>
      </c>
      <c r="O73" s="9">
        <f>_xlfn.XLOOKUP($A73,Sheet4!$B:$B,Sheet4!J:J)</f>
        <v>5</v>
      </c>
      <c r="P73" s="8">
        <f>_xlfn.XLOOKUP($A73,Sheet5!$B:$B,Sheet5!H:H)</f>
        <v>95</v>
      </c>
      <c r="Q73" s="8">
        <f>_xlfn.XLOOKUP($A73,Sheet5!$B:$B,Sheet5!I:I)</f>
        <v>32</v>
      </c>
      <c r="R73" s="8">
        <f>_xlfn.XLOOKUP($A73,Sheet5!$B:$B,Sheet5!J:J)</f>
        <v>20</v>
      </c>
      <c r="S73" s="8">
        <f>_xlfn.XLOOKUP($A73,Sheet6!$B:$B,Sheet6!H:H)</f>
        <v>100</v>
      </c>
      <c r="T73" s="8">
        <f>_xlfn.XLOOKUP($A73,Sheet6!$B:$B,Sheet6!I:I)</f>
        <v>24</v>
      </c>
      <c r="U73" s="9">
        <f>_xlfn.XLOOKUP($A73,Sheet6!$B:$B,Sheet6!J:J)</f>
        <v>0</v>
      </c>
      <c r="V73" s="8">
        <f>_xlfn.XLOOKUP($A73,Sheet7!$B:$B,Sheet7!H:H)</f>
        <v>50</v>
      </c>
      <c r="W73" s="8">
        <f>_xlfn.XLOOKUP($A73,Sheet7!$B:$B,Sheet7!I:I)</f>
        <v>70</v>
      </c>
      <c r="X73" s="8">
        <f>_xlfn.XLOOKUP($A73,Sheet7!$B:$B,Sheet7!J:J)</f>
        <v>0</v>
      </c>
      <c r="Y73" s="8">
        <f>_xlfn.XLOOKUP($A73,Sheet8!$B:$B,Sheet8!H:H)</f>
        <v>100</v>
      </c>
      <c r="Z73" s="8">
        <f>_xlfn.XLOOKUP($A73,Sheet8!$B:$B,Sheet8!I:I)</f>
        <v>10</v>
      </c>
      <c r="AA73" s="9">
        <f>_xlfn.XLOOKUP($A73,Sheet8!$B:$B,Sheet8!J:J)</f>
        <v>0</v>
      </c>
      <c r="AB73" s="6">
        <f>_xlfn.XLOOKUP($A73,Sheet1!$B:$B,Sheet1!G:G,0)+_xlfn.XLOOKUP($A73,Sheet2!$B:$B,Sheet2!G:G,0)</f>
        <v>318</v>
      </c>
      <c r="AC73" s="6">
        <f>_xlfn.XLOOKUP($A73,Sheet3!$B:$B,Sheet3!G:G,0)+_xlfn.XLOOKUP($A73,Sheet4!$B:$B,Sheet4!G:G,0)</f>
        <v>284</v>
      </c>
      <c r="AD73" s="6">
        <f>_xlfn.XLOOKUP($A73,Sheet5!$B:$B,Sheet5!G:G,0)+_xlfn.XLOOKUP($A73,Sheet6!$B:$B,Sheet6!G:G,0)</f>
        <v>271</v>
      </c>
      <c r="AE73" s="6">
        <f>_xlfn.XLOOKUP($A73,Sheet7!$B:$B,Sheet7!G:G,0)+_xlfn.XLOOKUP($A73,Sheet8!$B:$B,Sheet8!G:G,0)</f>
        <v>230</v>
      </c>
      <c r="AF73" s="6" cm="1">
        <f t="array" ref="AF73">SUM(IFERROR(AB73:AE73,0))</f>
        <v>1103</v>
      </c>
      <c r="AG73" s="6">
        <f t="shared" si="1"/>
        <v>70</v>
      </c>
    </row>
    <row r="74" spans="1:33" ht="15.6" x14ac:dyDescent="0.3">
      <c r="A74" s="6" t="s">
        <v>196</v>
      </c>
      <c r="B74" s="6" t="str">
        <f>_xlfn.XLOOKUP($A74,Sheet3!$B:$B,Sheet3!D:D)</f>
        <v>杭州市第二中学</v>
      </c>
      <c r="C74" s="7" t="str">
        <f>_xlfn.XLOOKUP($A74,Sheet3!$B:$B,Sheet3!E:E)</f>
        <v>贺枳南</v>
      </c>
      <c r="D74" s="6">
        <f>_xlfn.XLOOKUP($A74,Sheet1!$B:$B,Sheet1!H:H)</f>
        <v>24</v>
      </c>
      <c r="E74" s="6">
        <f>_xlfn.XLOOKUP($A74,Sheet1!$B:$B,Sheet1!I:I)</f>
        <v>100</v>
      </c>
      <c r="F74" s="6">
        <f>_xlfn.XLOOKUP($A74,Sheet1!$B:$B,Sheet1!J:J)</f>
        <v>0</v>
      </c>
      <c r="G74" s="6">
        <f>_xlfn.XLOOKUP($A74,Sheet2!$B:$B,Sheet2!H:H)</f>
        <v>100</v>
      </c>
      <c r="H74" s="6">
        <f>_xlfn.XLOOKUP($A74,Sheet2!$B:$B,Sheet2!I:I)</f>
        <v>8</v>
      </c>
      <c r="I74" s="7">
        <f>_xlfn.XLOOKUP($A74,Sheet2!$B:$B,Sheet2!J:J)</f>
        <v>15</v>
      </c>
      <c r="J74" s="8">
        <f>_xlfn.XLOOKUP($A74,Sheet3!$B:$B,Sheet3!H:H)</f>
        <v>78</v>
      </c>
      <c r="K74" s="8">
        <f>_xlfn.XLOOKUP($A74,Sheet3!$B:$B,Sheet3!I:I)</f>
        <v>40</v>
      </c>
      <c r="L74" s="8">
        <f>_xlfn.XLOOKUP($A74,Sheet3!$B:$B,Sheet3!J:J)</f>
        <v>30</v>
      </c>
      <c r="M74" s="8">
        <f>_xlfn.XLOOKUP($A74,Sheet4!$B:$B,Sheet4!H:H)</f>
        <v>100</v>
      </c>
      <c r="N74" s="8">
        <f>_xlfn.XLOOKUP($A74,Sheet4!$B:$B,Sheet4!I:I)</f>
        <v>0</v>
      </c>
      <c r="O74" s="9">
        <f>_xlfn.XLOOKUP($A74,Sheet4!$B:$B,Sheet4!J:J)</f>
        <v>0</v>
      </c>
      <c r="P74" s="8">
        <f>_xlfn.XLOOKUP($A74,Sheet5!$B:$B,Sheet5!H:H)</f>
        <v>100</v>
      </c>
      <c r="Q74" s="8">
        <f>_xlfn.XLOOKUP($A74,Sheet5!$B:$B,Sheet5!I:I)</f>
        <v>28</v>
      </c>
      <c r="R74" s="8">
        <f>_xlfn.XLOOKUP($A74,Sheet5!$B:$B,Sheet5!J:J)</f>
        <v>0</v>
      </c>
      <c r="S74" s="8">
        <f>_xlfn.XLOOKUP($A74,Sheet6!$B:$B,Sheet6!H:H)</f>
        <v>100</v>
      </c>
      <c r="T74" s="8">
        <f>_xlfn.XLOOKUP($A74,Sheet6!$B:$B,Sheet6!I:I)</f>
        <v>100</v>
      </c>
      <c r="U74" s="9">
        <f>_xlfn.XLOOKUP($A74,Sheet6!$B:$B,Sheet6!J:J)</f>
        <v>4</v>
      </c>
      <c r="V74" s="8">
        <f>_xlfn.XLOOKUP($A74,Sheet7!$B:$B,Sheet7!H:H)</f>
        <v>100</v>
      </c>
      <c r="W74" s="8">
        <f>_xlfn.XLOOKUP($A74,Sheet7!$B:$B,Sheet7!I:I)</f>
        <v>50</v>
      </c>
      <c r="X74" s="8">
        <f>_xlfn.XLOOKUP($A74,Sheet7!$B:$B,Sheet7!J:J)</f>
        <v>0</v>
      </c>
      <c r="Y74" s="8">
        <f>_xlfn.XLOOKUP($A74,Sheet8!$B:$B,Sheet8!H:H)</f>
        <v>100</v>
      </c>
      <c r="Z74" s="8">
        <f>_xlfn.XLOOKUP($A74,Sheet8!$B:$B,Sheet8!I:I)</f>
        <v>25</v>
      </c>
      <c r="AA74" s="9">
        <f>_xlfn.XLOOKUP($A74,Sheet8!$B:$B,Sheet8!J:J)</f>
        <v>0</v>
      </c>
      <c r="AB74" s="6">
        <f>_xlfn.XLOOKUP($A74,Sheet1!$B:$B,Sheet1!G:G,0)+_xlfn.XLOOKUP($A74,Sheet2!$B:$B,Sheet2!G:G,0)</f>
        <v>247</v>
      </c>
      <c r="AC74" s="6">
        <f>_xlfn.XLOOKUP($A74,Sheet3!$B:$B,Sheet3!G:G,0)+_xlfn.XLOOKUP($A74,Sheet4!$B:$B,Sheet4!G:G,0)</f>
        <v>248</v>
      </c>
      <c r="AD74" s="6">
        <f>_xlfn.XLOOKUP($A74,Sheet5!$B:$B,Sheet5!G:G,0)+_xlfn.XLOOKUP($A74,Sheet6!$B:$B,Sheet6!G:G,0)</f>
        <v>332</v>
      </c>
      <c r="AE74" s="6">
        <f>_xlfn.XLOOKUP($A74,Sheet7!$B:$B,Sheet7!G:G,0)+_xlfn.XLOOKUP($A74,Sheet8!$B:$B,Sheet8!G:G,0)</f>
        <v>275</v>
      </c>
      <c r="AF74" s="6" cm="1">
        <f t="array" ref="AF74">SUM(IFERROR(AB74:AE74,0))</f>
        <v>1102</v>
      </c>
      <c r="AG74" s="6">
        <f t="shared" si="1"/>
        <v>71</v>
      </c>
    </row>
    <row r="75" spans="1:33" ht="15.6" x14ac:dyDescent="0.3">
      <c r="A75" s="6" t="s">
        <v>536</v>
      </c>
      <c r="B75" s="6" t="str">
        <f>_xlfn.XLOOKUP($A75,Sheet3!$B:$B,Sheet3!D:D)</f>
        <v>广东实验中学</v>
      </c>
      <c r="C75" s="7" t="str">
        <f>_xlfn.XLOOKUP($A75,Sheet3!$B:$B,Sheet3!E:E)</f>
        <v>康立扬</v>
      </c>
      <c r="D75" s="6" t="e">
        <f>_xlfn.XLOOKUP($A75,Sheet1!$B:$B,Sheet1!H:H)</f>
        <v>#N/A</v>
      </c>
      <c r="E75" s="6" t="e">
        <f>_xlfn.XLOOKUP($A75,Sheet1!$B:$B,Sheet1!I:I)</f>
        <v>#N/A</v>
      </c>
      <c r="F75" s="6" t="e">
        <f>_xlfn.XLOOKUP($A75,Sheet1!$B:$B,Sheet1!J:J)</f>
        <v>#N/A</v>
      </c>
      <c r="G75" s="6">
        <f>_xlfn.XLOOKUP($A75,Sheet2!$B:$B,Sheet2!H:H)</f>
        <v>100</v>
      </c>
      <c r="H75" s="6">
        <f>_xlfn.XLOOKUP($A75,Sheet2!$B:$B,Sheet2!I:I)</f>
        <v>32</v>
      </c>
      <c r="I75" s="7">
        <f>_xlfn.XLOOKUP($A75,Sheet2!$B:$B,Sheet2!J:J)</f>
        <v>25</v>
      </c>
      <c r="J75" s="8">
        <f>_xlfn.XLOOKUP($A75,Sheet3!$B:$B,Sheet3!H:H)</f>
        <v>100</v>
      </c>
      <c r="K75" s="8">
        <f>_xlfn.XLOOKUP($A75,Sheet3!$B:$B,Sheet3!I:I)</f>
        <v>100</v>
      </c>
      <c r="L75" s="8">
        <f>_xlfn.XLOOKUP($A75,Sheet3!$B:$B,Sheet3!J:J)</f>
        <v>40</v>
      </c>
      <c r="M75" s="8">
        <f>_xlfn.XLOOKUP($A75,Sheet4!$B:$B,Sheet4!H:H)</f>
        <v>100</v>
      </c>
      <c r="N75" s="8">
        <f>_xlfn.XLOOKUP($A75,Sheet4!$B:$B,Sheet4!I:I)</f>
        <v>11</v>
      </c>
      <c r="O75" s="9">
        <f>_xlfn.XLOOKUP($A75,Sheet4!$B:$B,Sheet4!J:J)</f>
        <v>22</v>
      </c>
      <c r="P75" s="8">
        <f>_xlfn.XLOOKUP($A75,Sheet5!$B:$B,Sheet5!H:H)</f>
        <v>100</v>
      </c>
      <c r="Q75" s="8">
        <f>_xlfn.XLOOKUP($A75,Sheet5!$B:$B,Sheet5!I:I)</f>
        <v>32</v>
      </c>
      <c r="R75" s="8">
        <f>_xlfn.XLOOKUP($A75,Sheet5!$B:$B,Sheet5!J:J)</f>
        <v>0</v>
      </c>
      <c r="S75" s="8">
        <f>_xlfn.XLOOKUP($A75,Sheet6!$B:$B,Sheet6!H:H)</f>
        <v>100</v>
      </c>
      <c r="T75" s="8">
        <f>_xlfn.XLOOKUP($A75,Sheet6!$B:$B,Sheet6!I:I)</f>
        <v>100</v>
      </c>
      <c r="U75" s="9">
        <f>_xlfn.XLOOKUP($A75,Sheet6!$B:$B,Sheet6!J:J)</f>
        <v>24</v>
      </c>
      <c r="V75" s="8">
        <f>_xlfn.XLOOKUP($A75,Sheet7!$B:$B,Sheet7!H:H)</f>
        <v>100</v>
      </c>
      <c r="W75" s="8">
        <f>_xlfn.XLOOKUP($A75,Sheet7!$B:$B,Sheet7!I:I)</f>
        <v>0</v>
      </c>
      <c r="X75" s="8">
        <f>_xlfn.XLOOKUP($A75,Sheet7!$B:$B,Sheet7!J:J)</f>
        <v>0</v>
      </c>
      <c r="Y75" s="8">
        <f>_xlfn.XLOOKUP($A75,Sheet8!$B:$B,Sheet8!H:H)</f>
        <v>100</v>
      </c>
      <c r="Z75" s="8">
        <f>_xlfn.XLOOKUP($A75,Sheet8!$B:$B,Sheet8!I:I)</f>
        <v>0</v>
      </c>
      <c r="AA75" s="9">
        <f>_xlfn.XLOOKUP($A75,Sheet8!$B:$B,Sheet8!J:J)</f>
        <v>15</v>
      </c>
      <c r="AB75" s="6">
        <f>_xlfn.XLOOKUP($A75,Sheet1!$B:$B,Sheet1!G:G,0)+_xlfn.XLOOKUP($A75,Sheet2!$B:$B,Sheet2!G:G,0)</f>
        <v>157</v>
      </c>
      <c r="AC75" s="6">
        <f>_xlfn.XLOOKUP($A75,Sheet3!$B:$B,Sheet3!G:G,0)+_xlfn.XLOOKUP($A75,Sheet4!$B:$B,Sheet4!G:G,0)</f>
        <v>373</v>
      </c>
      <c r="AD75" s="6">
        <f>_xlfn.XLOOKUP($A75,Sheet5!$B:$B,Sheet5!G:G,0)+_xlfn.XLOOKUP($A75,Sheet6!$B:$B,Sheet6!G:G,0)</f>
        <v>356</v>
      </c>
      <c r="AE75" s="6">
        <f>_xlfn.XLOOKUP($A75,Sheet7!$B:$B,Sheet7!G:G,0)+_xlfn.XLOOKUP($A75,Sheet8!$B:$B,Sheet8!G:G,0)</f>
        <v>215</v>
      </c>
      <c r="AF75" s="6" cm="1">
        <f t="array" ref="AF75">SUM(IFERROR(AB75:AE75,0))</f>
        <v>1101</v>
      </c>
      <c r="AG75" s="6">
        <f t="shared" si="1"/>
        <v>72</v>
      </c>
    </row>
    <row r="76" spans="1:33" ht="15.6" x14ac:dyDescent="0.3">
      <c r="A76" s="6" t="s">
        <v>269</v>
      </c>
      <c r="B76" s="6" t="str">
        <f>_xlfn.XLOOKUP($A76,Sheet3!$B:$B,Sheet3!D:D)</f>
        <v>广州大学附属中学</v>
      </c>
      <c r="C76" s="7" t="str">
        <f>_xlfn.XLOOKUP($A76,Sheet3!$B:$B,Sheet3!E:E)</f>
        <v>赵稻道</v>
      </c>
      <c r="D76" s="6">
        <f>_xlfn.XLOOKUP($A76,Sheet1!$B:$B,Sheet1!H:H)</f>
        <v>100</v>
      </c>
      <c r="E76" s="6">
        <f>_xlfn.XLOOKUP($A76,Sheet1!$B:$B,Sheet1!I:I)</f>
        <v>0</v>
      </c>
      <c r="F76" s="6">
        <f>_xlfn.XLOOKUP($A76,Sheet1!$B:$B,Sheet1!J:J)</f>
        <v>0</v>
      </c>
      <c r="G76" s="6">
        <f>_xlfn.XLOOKUP($A76,Sheet2!$B:$B,Sheet2!H:H)</f>
        <v>100</v>
      </c>
      <c r="H76" s="6">
        <f>_xlfn.XLOOKUP($A76,Sheet2!$B:$B,Sheet2!I:I)</f>
        <v>32</v>
      </c>
      <c r="I76" s="7">
        <f>_xlfn.XLOOKUP($A76,Sheet2!$B:$B,Sheet2!J:J)</f>
        <v>0</v>
      </c>
      <c r="J76" s="8">
        <f>_xlfn.XLOOKUP($A76,Sheet3!$B:$B,Sheet3!H:H)</f>
        <v>100</v>
      </c>
      <c r="K76" s="8">
        <f>_xlfn.XLOOKUP($A76,Sheet3!$B:$B,Sheet3!I:I)</f>
        <v>60</v>
      </c>
      <c r="L76" s="8">
        <f>_xlfn.XLOOKUP($A76,Sheet3!$B:$B,Sheet3!J:J)</f>
        <v>40</v>
      </c>
      <c r="M76" s="8">
        <f>_xlfn.XLOOKUP($A76,Sheet4!$B:$B,Sheet4!H:H)</f>
        <v>100</v>
      </c>
      <c r="N76" s="8">
        <f>_xlfn.XLOOKUP($A76,Sheet4!$B:$B,Sheet4!I:I)</f>
        <v>0</v>
      </c>
      <c r="O76" s="9">
        <f>_xlfn.XLOOKUP($A76,Sheet4!$B:$B,Sheet4!J:J)</f>
        <v>0</v>
      </c>
      <c r="P76" s="8">
        <f>_xlfn.XLOOKUP($A76,Sheet5!$B:$B,Sheet5!H:H)</f>
        <v>100</v>
      </c>
      <c r="Q76" s="8">
        <f>_xlfn.XLOOKUP($A76,Sheet5!$B:$B,Sheet5!I:I)</f>
        <v>32</v>
      </c>
      <c r="R76" s="8">
        <f>_xlfn.XLOOKUP($A76,Sheet5!$B:$B,Sheet5!J:J)</f>
        <v>0</v>
      </c>
      <c r="S76" s="8">
        <f>_xlfn.XLOOKUP($A76,Sheet6!$B:$B,Sheet6!H:H)</f>
        <v>100</v>
      </c>
      <c r="T76" s="8">
        <f>_xlfn.XLOOKUP($A76,Sheet6!$B:$B,Sheet6!I:I)</f>
        <v>100</v>
      </c>
      <c r="U76" s="9">
        <f>_xlfn.XLOOKUP($A76,Sheet6!$B:$B,Sheet6!J:J)</f>
        <v>36</v>
      </c>
      <c r="V76" s="8">
        <f>_xlfn.XLOOKUP($A76,Sheet7!$B:$B,Sheet7!H:H)</f>
        <v>100</v>
      </c>
      <c r="W76" s="8">
        <f>_xlfn.XLOOKUP($A76,Sheet7!$B:$B,Sheet7!I:I)</f>
        <v>0</v>
      </c>
      <c r="X76" s="8">
        <f>_xlfn.XLOOKUP($A76,Sheet7!$B:$B,Sheet7!J:J)</f>
        <v>0</v>
      </c>
      <c r="Y76" s="8">
        <f>_xlfn.XLOOKUP($A76,Sheet8!$B:$B,Sheet8!H:H)</f>
        <v>100</v>
      </c>
      <c r="Z76" s="8">
        <f>_xlfn.XLOOKUP($A76,Sheet8!$B:$B,Sheet8!I:I)</f>
        <v>0</v>
      </c>
      <c r="AA76" s="9">
        <f>_xlfn.XLOOKUP($A76,Sheet8!$B:$B,Sheet8!J:J)</f>
        <v>0</v>
      </c>
      <c r="AB76" s="6">
        <f>_xlfn.XLOOKUP($A76,Sheet1!$B:$B,Sheet1!G:G,0)+_xlfn.XLOOKUP($A76,Sheet2!$B:$B,Sheet2!G:G,0)</f>
        <v>232</v>
      </c>
      <c r="AC76" s="6">
        <f>_xlfn.XLOOKUP($A76,Sheet3!$B:$B,Sheet3!G:G,0)+_xlfn.XLOOKUP($A76,Sheet4!$B:$B,Sheet4!G:G,0)</f>
        <v>300</v>
      </c>
      <c r="AD76" s="6">
        <f>_xlfn.XLOOKUP($A76,Sheet5!$B:$B,Sheet5!G:G,0)+_xlfn.XLOOKUP($A76,Sheet6!$B:$B,Sheet6!G:G,0)</f>
        <v>368</v>
      </c>
      <c r="AE76" s="6">
        <f>_xlfn.XLOOKUP($A76,Sheet7!$B:$B,Sheet7!G:G,0)+_xlfn.XLOOKUP($A76,Sheet8!$B:$B,Sheet8!G:G,0)</f>
        <v>200</v>
      </c>
      <c r="AF76" s="6" cm="1">
        <f t="array" ref="AF76">SUM(IFERROR(AB76:AE76,0))</f>
        <v>1100</v>
      </c>
      <c r="AG76" s="6">
        <f t="shared" si="1"/>
        <v>73</v>
      </c>
    </row>
    <row r="77" spans="1:33" ht="15.6" x14ac:dyDescent="0.3">
      <c r="A77" s="6" t="s">
        <v>157</v>
      </c>
      <c r="B77" s="6" t="str">
        <f>_xlfn.XLOOKUP($A77,Sheet3!$B:$B,Sheet3!D:D)</f>
        <v>广州大学附属中学</v>
      </c>
      <c r="C77" s="7" t="str">
        <f>_xlfn.XLOOKUP($A77,Sheet3!$B:$B,Sheet3!E:E)</f>
        <v>缪凌锴</v>
      </c>
      <c r="D77" s="6">
        <f>_xlfn.XLOOKUP($A77,Sheet1!$B:$B,Sheet1!H:H)</f>
        <v>100</v>
      </c>
      <c r="E77" s="6">
        <f>_xlfn.XLOOKUP($A77,Sheet1!$B:$B,Sheet1!I:I)</f>
        <v>42</v>
      </c>
      <c r="F77" s="6">
        <f>_xlfn.XLOOKUP($A77,Sheet1!$B:$B,Sheet1!J:J)</f>
        <v>0</v>
      </c>
      <c r="G77" s="6">
        <f>_xlfn.XLOOKUP($A77,Sheet2!$B:$B,Sheet2!H:H)</f>
        <v>100</v>
      </c>
      <c r="H77" s="6">
        <f>_xlfn.XLOOKUP($A77,Sheet2!$B:$B,Sheet2!I:I)</f>
        <v>0</v>
      </c>
      <c r="I77" s="7">
        <f>_xlfn.XLOOKUP($A77,Sheet2!$B:$B,Sheet2!J:J)</f>
        <v>25</v>
      </c>
      <c r="J77" s="8">
        <f>_xlfn.XLOOKUP($A77,Sheet3!$B:$B,Sheet3!H:H)</f>
        <v>100</v>
      </c>
      <c r="K77" s="8">
        <f>_xlfn.XLOOKUP($A77,Sheet3!$B:$B,Sheet3!I:I)</f>
        <v>60</v>
      </c>
      <c r="L77" s="8">
        <f>_xlfn.XLOOKUP($A77,Sheet3!$B:$B,Sheet3!J:J)</f>
        <v>0</v>
      </c>
      <c r="M77" s="8">
        <f>_xlfn.XLOOKUP($A77,Sheet4!$B:$B,Sheet4!H:H)</f>
        <v>100</v>
      </c>
      <c r="N77" s="8">
        <f>_xlfn.XLOOKUP($A77,Sheet4!$B:$B,Sheet4!I:I)</f>
        <v>0</v>
      </c>
      <c r="O77" s="9">
        <f>_xlfn.XLOOKUP($A77,Sheet4!$B:$B,Sheet4!J:J)</f>
        <v>0</v>
      </c>
      <c r="P77" s="8">
        <f>_xlfn.XLOOKUP($A77,Sheet5!$B:$B,Sheet5!H:H)</f>
        <v>100</v>
      </c>
      <c r="Q77" s="8">
        <f>_xlfn.XLOOKUP($A77,Sheet5!$B:$B,Sheet5!I:I)</f>
        <v>45</v>
      </c>
      <c r="R77" s="8">
        <f>_xlfn.XLOOKUP($A77,Sheet5!$B:$B,Sheet5!J:J)</f>
        <v>0</v>
      </c>
      <c r="S77" s="8">
        <f>_xlfn.XLOOKUP($A77,Sheet6!$B:$B,Sheet6!H:H)</f>
        <v>100</v>
      </c>
      <c r="T77" s="8">
        <f>_xlfn.XLOOKUP($A77,Sheet6!$B:$B,Sheet6!I:I)</f>
        <v>100</v>
      </c>
      <c r="U77" s="9">
        <f>_xlfn.XLOOKUP($A77,Sheet6!$B:$B,Sheet6!J:J)</f>
        <v>24</v>
      </c>
      <c r="V77" s="8">
        <f>_xlfn.XLOOKUP($A77,Sheet7!$B:$B,Sheet7!H:H)</f>
        <v>100</v>
      </c>
      <c r="W77" s="8">
        <f>_xlfn.XLOOKUP($A77,Sheet7!$B:$B,Sheet7!I:I)</f>
        <v>0</v>
      </c>
      <c r="X77" s="8">
        <f>_xlfn.XLOOKUP($A77,Sheet7!$B:$B,Sheet7!J:J)</f>
        <v>0</v>
      </c>
      <c r="Y77" s="8">
        <f>_xlfn.XLOOKUP($A77,Sheet8!$B:$B,Sheet8!H:H)</f>
        <v>100</v>
      </c>
      <c r="Z77" s="8">
        <f>_xlfn.XLOOKUP($A77,Sheet8!$B:$B,Sheet8!I:I)</f>
        <v>0</v>
      </c>
      <c r="AA77" s="9">
        <f>_xlfn.XLOOKUP($A77,Sheet8!$B:$B,Sheet8!J:J)</f>
        <v>0</v>
      </c>
      <c r="AB77" s="6">
        <f>_xlfn.XLOOKUP($A77,Sheet1!$B:$B,Sheet1!G:G,0)+_xlfn.XLOOKUP($A77,Sheet2!$B:$B,Sheet2!G:G,0)</f>
        <v>267</v>
      </c>
      <c r="AC77" s="6">
        <f>_xlfn.XLOOKUP($A77,Sheet3!$B:$B,Sheet3!G:G,0)+_xlfn.XLOOKUP($A77,Sheet4!$B:$B,Sheet4!G:G,0)</f>
        <v>260</v>
      </c>
      <c r="AD77" s="6">
        <f>_xlfn.XLOOKUP($A77,Sheet5!$B:$B,Sheet5!G:G,0)+_xlfn.XLOOKUP($A77,Sheet6!$B:$B,Sheet6!G:G,0)</f>
        <v>369</v>
      </c>
      <c r="AE77" s="6">
        <f>_xlfn.XLOOKUP($A77,Sheet7!$B:$B,Sheet7!G:G,0)+_xlfn.XLOOKUP($A77,Sheet8!$B:$B,Sheet8!G:G,0)</f>
        <v>200</v>
      </c>
      <c r="AF77" s="6" cm="1">
        <f t="array" ref="AF77">SUM(IFERROR(AB77:AE77,0))</f>
        <v>1096</v>
      </c>
      <c r="AG77" s="6">
        <f t="shared" si="1"/>
        <v>74</v>
      </c>
    </row>
    <row r="78" spans="1:33" ht="15.6" x14ac:dyDescent="0.3">
      <c r="A78" s="6" t="s">
        <v>280</v>
      </c>
      <c r="B78" s="6" t="str">
        <f>_xlfn.XLOOKUP($A78,Sheet3!$B:$B,Sheet3!D:D)</f>
        <v>清华大学附属中学</v>
      </c>
      <c r="C78" s="7" t="str">
        <f>_xlfn.XLOOKUP($A78,Sheet3!$B:$B,Sheet3!E:E)</f>
        <v>黄思源</v>
      </c>
      <c r="D78" s="6">
        <f>_xlfn.XLOOKUP($A78,Sheet1!$B:$B,Sheet1!H:H)</f>
        <v>68</v>
      </c>
      <c r="E78" s="6">
        <f>_xlfn.XLOOKUP($A78,Sheet1!$B:$B,Sheet1!I:I)</f>
        <v>0</v>
      </c>
      <c r="F78" s="6">
        <f>_xlfn.XLOOKUP($A78,Sheet1!$B:$B,Sheet1!J:J)</f>
        <v>7</v>
      </c>
      <c r="G78" s="6">
        <f>_xlfn.XLOOKUP($A78,Sheet2!$B:$B,Sheet2!H:H)</f>
        <v>100</v>
      </c>
      <c r="H78" s="6">
        <f>_xlfn.XLOOKUP($A78,Sheet2!$B:$B,Sheet2!I:I)</f>
        <v>32</v>
      </c>
      <c r="I78" s="7">
        <f>_xlfn.XLOOKUP($A78,Sheet2!$B:$B,Sheet2!J:J)</f>
        <v>34</v>
      </c>
      <c r="J78" s="8">
        <f>_xlfn.XLOOKUP($A78,Sheet3!$B:$B,Sheet3!H:H)</f>
        <v>100</v>
      </c>
      <c r="K78" s="8">
        <f>_xlfn.XLOOKUP($A78,Sheet3!$B:$B,Sheet3!I:I)</f>
        <v>40</v>
      </c>
      <c r="L78" s="8">
        <f>_xlfn.XLOOKUP($A78,Sheet3!$B:$B,Sheet3!J:J)</f>
        <v>40</v>
      </c>
      <c r="M78" s="8">
        <f>_xlfn.XLOOKUP($A78,Sheet4!$B:$B,Sheet4!H:H)</f>
        <v>60</v>
      </c>
      <c r="N78" s="8">
        <f>_xlfn.XLOOKUP($A78,Sheet4!$B:$B,Sheet4!I:I)</f>
        <v>11</v>
      </c>
      <c r="O78" s="9">
        <f>_xlfn.XLOOKUP($A78,Sheet4!$B:$B,Sheet4!J:J)</f>
        <v>12</v>
      </c>
      <c r="P78" s="8">
        <f>_xlfn.XLOOKUP($A78,Sheet5!$B:$B,Sheet5!H:H)</f>
        <v>100</v>
      </c>
      <c r="Q78" s="8">
        <f>_xlfn.XLOOKUP($A78,Sheet5!$B:$B,Sheet5!I:I)</f>
        <v>48</v>
      </c>
      <c r="R78" s="8">
        <f>_xlfn.XLOOKUP($A78,Sheet5!$B:$B,Sheet5!J:J)</f>
        <v>10</v>
      </c>
      <c r="S78" s="8">
        <f>_xlfn.XLOOKUP($A78,Sheet6!$B:$B,Sheet6!H:H)</f>
        <v>100</v>
      </c>
      <c r="T78" s="8">
        <f>_xlfn.XLOOKUP($A78,Sheet6!$B:$B,Sheet6!I:I)</f>
        <v>36</v>
      </c>
      <c r="U78" s="9">
        <f>_xlfn.XLOOKUP($A78,Sheet6!$B:$B,Sheet6!J:J)</f>
        <v>52</v>
      </c>
      <c r="V78" s="8">
        <f>_xlfn.XLOOKUP($A78,Sheet7!$B:$B,Sheet7!H:H)</f>
        <v>30</v>
      </c>
      <c r="W78" s="8">
        <f>_xlfn.XLOOKUP($A78,Sheet7!$B:$B,Sheet7!I:I)</f>
        <v>90</v>
      </c>
      <c r="X78" s="8">
        <f>_xlfn.XLOOKUP($A78,Sheet7!$B:$B,Sheet7!J:J)</f>
        <v>24</v>
      </c>
      <c r="Y78" s="8">
        <f>_xlfn.XLOOKUP($A78,Sheet8!$B:$B,Sheet8!H:H)</f>
        <v>100</v>
      </c>
      <c r="Z78" s="8">
        <f>_xlfn.XLOOKUP($A78,Sheet8!$B:$B,Sheet8!I:I)</f>
        <v>0</v>
      </c>
      <c r="AA78" s="9">
        <f>_xlfn.XLOOKUP($A78,Sheet8!$B:$B,Sheet8!J:J)</f>
        <v>0</v>
      </c>
      <c r="AB78" s="6">
        <f>_xlfn.XLOOKUP($A78,Sheet1!$B:$B,Sheet1!G:G,0)+_xlfn.XLOOKUP($A78,Sheet2!$B:$B,Sheet2!G:G,0)</f>
        <v>241</v>
      </c>
      <c r="AC78" s="6">
        <f>_xlfn.XLOOKUP($A78,Sheet3!$B:$B,Sheet3!G:G,0)+_xlfn.XLOOKUP($A78,Sheet4!$B:$B,Sheet4!G:G,0)</f>
        <v>263</v>
      </c>
      <c r="AD78" s="6">
        <f>_xlfn.XLOOKUP($A78,Sheet5!$B:$B,Sheet5!G:G,0)+_xlfn.XLOOKUP($A78,Sheet6!$B:$B,Sheet6!G:G,0)</f>
        <v>346</v>
      </c>
      <c r="AE78" s="6">
        <f>_xlfn.XLOOKUP($A78,Sheet7!$B:$B,Sheet7!G:G,0)+_xlfn.XLOOKUP($A78,Sheet8!$B:$B,Sheet8!G:G,0)</f>
        <v>244</v>
      </c>
      <c r="AF78" s="6" cm="1">
        <f t="array" ref="AF78">SUM(IFERROR(AB78:AE78,0))</f>
        <v>1094</v>
      </c>
      <c r="AG78" s="6">
        <f t="shared" si="1"/>
        <v>75</v>
      </c>
    </row>
    <row r="79" spans="1:33" ht="15.6" x14ac:dyDescent="0.3">
      <c r="A79" s="6" t="s">
        <v>234</v>
      </c>
      <c r="B79" s="6" t="str">
        <f>_xlfn.XLOOKUP($A79,Sheet3!$B:$B,Sheet3!D:D)</f>
        <v>杭州市第二中学</v>
      </c>
      <c r="C79" s="7" t="str">
        <f>_xlfn.XLOOKUP($A79,Sheet3!$B:$B,Sheet3!E:E)</f>
        <v>斯嘉智</v>
      </c>
      <c r="D79" s="6">
        <f>_xlfn.XLOOKUP($A79,Sheet1!$B:$B,Sheet1!H:H)</f>
        <v>100</v>
      </c>
      <c r="E79" s="6">
        <f>_xlfn.XLOOKUP($A79,Sheet1!$B:$B,Sheet1!I:I)</f>
        <v>0</v>
      </c>
      <c r="F79" s="6">
        <f>_xlfn.XLOOKUP($A79,Sheet1!$B:$B,Sheet1!J:J)</f>
        <v>0</v>
      </c>
      <c r="G79" s="6">
        <f>_xlfn.XLOOKUP($A79,Sheet2!$B:$B,Sheet2!H:H)</f>
        <v>10</v>
      </c>
      <c r="H79" s="6">
        <f>_xlfn.XLOOKUP($A79,Sheet2!$B:$B,Sheet2!I:I)</f>
        <v>32</v>
      </c>
      <c r="I79" s="7">
        <f>_xlfn.XLOOKUP($A79,Sheet2!$B:$B,Sheet2!J:J)</f>
        <v>12</v>
      </c>
      <c r="J79" s="8">
        <f>_xlfn.XLOOKUP($A79,Sheet3!$B:$B,Sheet3!H:H)</f>
        <v>100</v>
      </c>
      <c r="K79" s="8">
        <f>_xlfn.XLOOKUP($A79,Sheet3!$B:$B,Sheet3!I:I)</f>
        <v>100</v>
      </c>
      <c r="L79" s="8">
        <f>_xlfn.XLOOKUP($A79,Sheet3!$B:$B,Sheet3!J:J)</f>
        <v>60</v>
      </c>
      <c r="M79" s="8">
        <f>_xlfn.XLOOKUP($A79,Sheet4!$B:$B,Sheet4!H:H)</f>
        <v>100</v>
      </c>
      <c r="N79" s="8">
        <f>_xlfn.XLOOKUP($A79,Sheet4!$B:$B,Sheet4!I:I)</f>
        <v>11</v>
      </c>
      <c r="O79" s="9">
        <f>_xlfn.XLOOKUP($A79,Sheet4!$B:$B,Sheet4!J:J)</f>
        <v>1</v>
      </c>
      <c r="P79" s="8">
        <f>_xlfn.XLOOKUP($A79,Sheet5!$B:$B,Sheet5!H:H)</f>
        <v>100</v>
      </c>
      <c r="Q79" s="8">
        <f>_xlfn.XLOOKUP($A79,Sheet5!$B:$B,Sheet5!I:I)</f>
        <v>32</v>
      </c>
      <c r="R79" s="8">
        <f>_xlfn.XLOOKUP($A79,Sheet5!$B:$B,Sheet5!J:J)</f>
        <v>30</v>
      </c>
      <c r="S79" s="8">
        <f>_xlfn.XLOOKUP($A79,Sheet6!$B:$B,Sheet6!H:H)</f>
        <v>100</v>
      </c>
      <c r="T79" s="8">
        <f>_xlfn.XLOOKUP($A79,Sheet6!$B:$B,Sheet6!I:I)</f>
        <v>60</v>
      </c>
      <c r="U79" s="9">
        <f>_xlfn.XLOOKUP($A79,Sheet6!$B:$B,Sheet6!J:J)</f>
        <v>12</v>
      </c>
      <c r="V79" s="8">
        <f>_xlfn.XLOOKUP($A79,Sheet7!$B:$B,Sheet7!H:H)</f>
        <v>100</v>
      </c>
      <c r="W79" s="8">
        <f>_xlfn.XLOOKUP($A79,Sheet7!$B:$B,Sheet7!I:I)</f>
        <v>20</v>
      </c>
      <c r="X79" s="8">
        <f>_xlfn.XLOOKUP($A79,Sheet7!$B:$B,Sheet7!J:J)</f>
        <v>14</v>
      </c>
      <c r="Y79" s="8">
        <f>_xlfn.XLOOKUP($A79,Sheet8!$B:$B,Sheet8!H:H)</f>
        <v>100</v>
      </c>
      <c r="Z79" s="8">
        <f>_xlfn.XLOOKUP($A79,Sheet8!$B:$B,Sheet8!I:I)</f>
        <v>0</v>
      </c>
      <c r="AA79" s="9">
        <f>_xlfn.XLOOKUP($A79,Sheet8!$B:$B,Sheet8!J:J)</f>
        <v>0</v>
      </c>
      <c r="AB79" s="6">
        <f>_xlfn.XLOOKUP($A79,Sheet1!$B:$B,Sheet1!G:G,0)+_xlfn.XLOOKUP($A79,Sheet2!$B:$B,Sheet2!G:G,0)</f>
        <v>154</v>
      </c>
      <c r="AC79" s="6">
        <f>_xlfn.XLOOKUP($A79,Sheet3!$B:$B,Sheet3!G:G,0)+_xlfn.XLOOKUP($A79,Sheet4!$B:$B,Sheet4!G:G,0)</f>
        <v>372</v>
      </c>
      <c r="AD79" s="6">
        <f>_xlfn.XLOOKUP($A79,Sheet5!$B:$B,Sheet5!G:G,0)+_xlfn.XLOOKUP($A79,Sheet6!$B:$B,Sheet6!G:G,0)</f>
        <v>334</v>
      </c>
      <c r="AE79" s="6">
        <f>_xlfn.XLOOKUP($A79,Sheet7!$B:$B,Sheet7!G:G,0)+_xlfn.XLOOKUP($A79,Sheet8!$B:$B,Sheet8!G:G,0)</f>
        <v>234</v>
      </c>
      <c r="AF79" s="6" cm="1">
        <f t="array" ref="AF79">SUM(IFERROR(AB79:AE79,0))</f>
        <v>1094</v>
      </c>
      <c r="AG79" s="6">
        <f t="shared" si="1"/>
        <v>75</v>
      </c>
    </row>
    <row r="80" spans="1:33" ht="15.6" x14ac:dyDescent="0.3">
      <c r="A80" s="6" t="s">
        <v>433</v>
      </c>
      <c r="B80" s="6" t="str">
        <f>_xlfn.XLOOKUP($A80,Sheet3!$B:$B,Sheet3!D:D)</f>
        <v>广州大学附属中学</v>
      </c>
      <c r="C80" s="7" t="str">
        <f>_xlfn.XLOOKUP($A80,Sheet3!$B:$B,Sheet3!E:E)</f>
        <v>李钧</v>
      </c>
      <c r="D80" s="6">
        <f>_xlfn.XLOOKUP($A80,Sheet1!$B:$B,Sheet1!H:H)</f>
        <v>24</v>
      </c>
      <c r="E80" s="6">
        <f>_xlfn.XLOOKUP($A80,Sheet1!$B:$B,Sheet1!I:I)</f>
        <v>0</v>
      </c>
      <c r="F80" s="6">
        <f>_xlfn.XLOOKUP($A80,Sheet1!$B:$B,Sheet1!J:J)</f>
        <v>0</v>
      </c>
      <c r="G80" s="6">
        <f>_xlfn.XLOOKUP($A80,Sheet2!$B:$B,Sheet2!H:H)</f>
        <v>100</v>
      </c>
      <c r="H80" s="6">
        <f>_xlfn.XLOOKUP($A80,Sheet2!$B:$B,Sheet2!I:I)</f>
        <v>44</v>
      </c>
      <c r="I80" s="7">
        <f>_xlfn.XLOOKUP($A80,Sheet2!$B:$B,Sheet2!J:J)</f>
        <v>12</v>
      </c>
      <c r="J80" s="8">
        <f>_xlfn.XLOOKUP($A80,Sheet3!$B:$B,Sheet3!H:H)</f>
        <v>100</v>
      </c>
      <c r="K80" s="8">
        <f>_xlfn.XLOOKUP($A80,Sheet3!$B:$B,Sheet3!I:I)</f>
        <v>40</v>
      </c>
      <c r="L80" s="8">
        <f>_xlfn.XLOOKUP($A80,Sheet3!$B:$B,Sheet3!J:J)</f>
        <v>30</v>
      </c>
      <c r="M80" s="8">
        <f>_xlfn.XLOOKUP($A80,Sheet4!$B:$B,Sheet4!H:H)</f>
        <v>100</v>
      </c>
      <c r="N80" s="8">
        <f>_xlfn.XLOOKUP($A80,Sheet4!$B:$B,Sheet4!I:I)</f>
        <v>0</v>
      </c>
      <c r="O80" s="9">
        <f>_xlfn.XLOOKUP($A80,Sheet4!$B:$B,Sheet4!J:J)</f>
        <v>0</v>
      </c>
      <c r="P80" s="8">
        <f>_xlfn.XLOOKUP($A80,Sheet5!$B:$B,Sheet5!H:H)</f>
        <v>100</v>
      </c>
      <c r="Q80" s="8">
        <f>_xlfn.XLOOKUP($A80,Sheet5!$B:$B,Sheet5!I:I)</f>
        <v>58</v>
      </c>
      <c r="R80" s="8">
        <f>_xlfn.XLOOKUP($A80,Sheet5!$B:$B,Sheet5!J:J)</f>
        <v>0</v>
      </c>
      <c r="S80" s="8">
        <f>_xlfn.XLOOKUP($A80,Sheet6!$B:$B,Sheet6!H:H)</f>
        <v>100</v>
      </c>
      <c r="T80" s="8">
        <f>_xlfn.XLOOKUP($A80,Sheet6!$B:$B,Sheet6!I:I)</f>
        <v>100</v>
      </c>
      <c r="U80" s="9">
        <f>_xlfn.XLOOKUP($A80,Sheet6!$B:$B,Sheet6!J:J)</f>
        <v>20</v>
      </c>
      <c r="V80" s="8">
        <f>_xlfn.XLOOKUP($A80,Sheet7!$B:$B,Sheet7!H:H)</f>
        <v>100</v>
      </c>
      <c r="W80" s="8">
        <f>_xlfn.XLOOKUP($A80,Sheet7!$B:$B,Sheet7!I:I)</f>
        <v>10</v>
      </c>
      <c r="X80" s="8">
        <f>_xlfn.XLOOKUP($A80,Sheet7!$B:$B,Sheet7!J:J)</f>
        <v>0</v>
      </c>
      <c r="Y80" s="8">
        <f>_xlfn.XLOOKUP($A80,Sheet8!$B:$B,Sheet8!H:H)</f>
        <v>100</v>
      </c>
      <c r="Z80" s="8">
        <f>_xlfn.XLOOKUP($A80,Sheet8!$B:$B,Sheet8!I:I)</f>
        <v>0</v>
      </c>
      <c r="AA80" s="9">
        <f>_xlfn.XLOOKUP($A80,Sheet8!$B:$B,Sheet8!J:J)</f>
        <v>45</v>
      </c>
      <c r="AB80" s="6">
        <f>_xlfn.XLOOKUP($A80,Sheet1!$B:$B,Sheet1!G:G,0)+_xlfn.XLOOKUP($A80,Sheet2!$B:$B,Sheet2!G:G,0)</f>
        <v>180</v>
      </c>
      <c r="AC80" s="6">
        <f>_xlfn.XLOOKUP($A80,Sheet3!$B:$B,Sheet3!G:G,0)+_xlfn.XLOOKUP($A80,Sheet4!$B:$B,Sheet4!G:G,0)</f>
        <v>270</v>
      </c>
      <c r="AD80" s="6">
        <f>_xlfn.XLOOKUP($A80,Sheet5!$B:$B,Sheet5!G:G,0)+_xlfn.XLOOKUP($A80,Sheet6!$B:$B,Sheet6!G:G,0)</f>
        <v>378</v>
      </c>
      <c r="AE80" s="6">
        <f>_xlfn.XLOOKUP($A80,Sheet7!$B:$B,Sheet7!G:G,0)+_xlfn.XLOOKUP($A80,Sheet8!$B:$B,Sheet8!G:G,0)</f>
        <v>255</v>
      </c>
      <c r="AF80" s="6" cm="1">
        <f t="array" ref="AF80">SUM(IFERROR(AB80:AE80,0))</f>
        <v>1083</v>
      </c>
      <c r="AG80" s="6">
        <f t="shared" si="1"/>
        <v>77</v>
      </c>
    </row>
    <row r="81" spans="1:33" ht="15.6" x14ac:dyDescent="0.3">
      <c r="A81" s="6" t="s">
        <v>205</v>
      </c>
      <c r="B81" s="6" t="str">
        <f>_xlfn.XLOOKUP($A81,Sheet3!$B:$B,Sheet3!D:D)</f>
        <v>深圳中学</v>
      </c>
      <c r="C81" s="7" t="str">
        <f>_xlfn.XLOOKUP($A81,Sheet3!$B:$B,Sheet3!E:E)</f>
        <v>王中元</v>
      </c>
      <c r="D81" s="6">
        <f>_xlfn.XLOOKUP($A81,Sheet1!$B:$B,Sheet1!H:H)</f>
        <v>100</v>
      </c>
      <c r="E81" s="6">
        <f>_xlfn.XLOOKUP($A81,Sheet1!$B:$B,Sheet1!I:I)</f>
        <v>10</v>
      </c>
      <c r="F81" s="6">
        <f>_xlfn.XLOOKUP($A81,Sheet1!$B:$B,Sheet1!J:J)</f>
        <v>0</v>
      </c>
      <c r="G81" s="6">
        <f>_xlfn.XLOOKUP($A81,Sheet2!$B:$B,Sheet2!H:H)</f>
        <v>100</v>
      </c>
      <c r="H81" s="6">
        <f>_xlfn.XLOOKUP($A81,Sheet2!$B:$B,Sheet2!I:I)</f>
        <v>20</v>
      </c>
      <c r="I81" s="7">
        <f>_xlfn.XLOOKUP($A81,Sheet2!$B:$B,Sheet2!J:J)</f>
        <v>15</v>
      </c>
      <c r="J81" s="8">
        <f>_xlfn.XLOOKUP($A81,Sheet3!$B:$B,Sheet3!H:H)</f>
        <v>100</v>
      </c>
      <c r="K81" s="8">
        <f>_xlfn.XLOOKUP($A81,Sheet3!$B:$B,Sheet3!I:I)</f>
        <v>60</v>
      </c>
      <c r="L81" s="8">
        <f>_xlfn.XLOOKUP($A81,Sheet3!$B:$B,Sheet3!J:J)</f>
        <v>0</v>
      </c>
      <c r="M81" s="8">
        <f>_xlfn.XLOOKUP($A81,Sheet4!$B:$B,Sheet4!H:H)</f>
        <v>22</v>
      </c>
      <c r="N81" s="8">
        <f>_xlfn.XLOOKUP($A81,Sheet4!$B:$B,Sheet4!I:I)</f>
        <v>0</v>
      </c>
      <c r="O81" s="9">
        <f>_xlfn.XLOOKUP($A81,Sheet4!$B:$B,Sheet4!J:J)</f>
        <v>0</v>
      </c>
      <c r="P81" s="8">
        <f>_xlfn.XLOOKUP($A81,Sheet5!$B:$B,Sheet5!H:H)</f>
        <v>100</v>
      </c>
      <c r="Q81" s="8">
        <f>_xlfn.XLOOKUP($A81,Sheet5!$B:$B,Sheet5!I:I)</f>
        <v>74</v>
      </c>
      <c r="R81" s="8">
        <f>_xlfn.XLOOKUP($A81,Sheet5!$B:$B,Sheet5!J:J)</f>
        <v>20</v>
      </c>
      <c r="S81" s="8">
        <f>_xlfn.XLOOKUP($A81,Sheet6!$B:$B,Sheet6!H:H)</f>
        <v>100</v>
      </c>
      <c r="T81" s="8">
        <f>_xlfn.XLOOKUP($A81,Sheet6!$B:$B,Sheet6!I:I)</f>
        <v>92</v>
      </c>
      <c r="U81" s="9">
        <f>_xlfn.XLOOKUP($A81,Sheet6!$B:$B,Sheet6!J:J)</f>
        <v>20</v>
      </c>
      <c r="V81" s="8">
        <f>_xlfn.XLOOKUP($A81,Sheet7!$B:$B,Sheet7!H:H)</f>
        <v>100</v>
      </c>
      <c r="W81" s="8">
        <f>_xlfn.XLOOKUP($A81,Sheet7!$B:$B,Sheet7!I:I)</f>
        <v>0</v>
      </c>
      <c r="X81" s="8">
        <f>_xlfn.XLOOKUP($A81,Sheet7!$B:$B,Sheet7!J:J)</f>
        <v>39</v>
      </c>
      <c r="Y81" s="8">
        <f>_xlfn.XLOOKUP($A81,Sheet8!$B:$B,Sheet8!H:H)</f>
        <v>100</v>
      </c>
      <c r="Z81" s="8">
        <f>_xlfn.XLOOKUP($A81,Sheet8!$B:$B,Sheet8!I:I)</f>
        <v>10</v>
      </c>
      <c r="AA81" s="9">
        <f>_xlfn.XLOOKUP($A81,Sheet8!$B:$B,Sheet8!J:J)</f>
        <v>0</v>
      </c>
      <c r="AB81" s="6">
        <f>_xlfn.XLOOKUP($A81,Sheet1!$B:$B,Sheet1!G:G,0)+_xlfn.XLOOKUP($A81,Sheet2!$B:$B,Sheet2!G:G,0)</f>
        <v>245</v>
      </c>
      <c r="AC81" s="6">
        <f>_xlfn.XLOOKUP($A81,Sheet3!$B:$B,Sheet3!G:G,0)+_xlfn.XLOOKUP($A81,Sheet4!$B:$B,Sheet4!G:G,0)</f>
        <v>182</v>
      </c>
      <c r="AD81" s="6">
        <f>_xlfn.XLOOKUP($A81,Sheet5!$B:$B,Sheet5!G:G,0)+_xlfn.XLOOKUP($A81,Sheet6!$B:$B,Sheet6!G:G,0)</f>
        <v>406</v>
      </c>
      <c r="AE81" s="6">
        <f>_xlfn.XLOOKUP($A81,Sheet7!$B:$B,Sheet7!G:G,0)+_xlfn.XLOOKUP($A81,Sheet8!$B:$B,Sheet8!G:G,0)</f>
        <v>249</v>
      </c>
      <c r="AF81" s="6" cm="1">
        <f t="array" ref="AF81">SUM(IFERROR(AB81:AE81,0))</f>
        <v>1082</v>
      </c>
      <c r="AG81" s="6">
        <f t="shared" si="1"/>
        <v>78</v>
      </c>
    </row>
    <row r="82" spans="1:33" ht="15.6" x14ac:dyDescent="0.3">
      <c r="A82" s="6" t="s">
        <v>149</v>
      </c>
      <c r="B82" s="6" t="str">
        <f>_xlfn.XLOOKUP($A82,Sheet3!$B:$B,Sheet3!D:D)</f>
        <v>武汉新城实验中学</v>
      </c>
      <c r="C82" s="7" t="str">
        <f>_xlfn.XLOOKUP($A82,Sheet3!$B:$B,Sheet3!E:E)</f>
        <v>刘珈逸</v>
      </c>
      <c r="D82" s="6">
        <f>_xlfn.XLOOKUP($A82,Sheet1!$B:$B,Sheet1!H:H)</f>
        <v>100</v>
      </c>
      <c r="E82" s="6">
        <f>_xlfn.XLOOKUP($A82,Sheet1!$B:$B,Sheet1!I:I)</f>
        <v>42</v>
      </c>
      <c r="F82" s="6">
        <f>_xlfn.XLOOKUP($A82,Sheet1!$B:$B,Sheet1!J:J)</f>
        <v>0</v>
      </c>
      <c r="G82" s="6">
        <f>_xlfn.XLOOKUP($A82,Sheet2!$B:$B,Sheet2!H:H)</f>
        <v>100</v>
      </c>
      <c r="H82" s="6">
        <f>_xlfn.XLOOKUP($A82,Sheet2!$B:$B,Sheet2!I:I)</f>
        <v>44</v>
      </c>
      <c r="I82" s="7">
        <f>_xlfn.XLOOKUP($A82,Sheet2!$B:$B,Sheet2!J:J)</f>
        <v>43</v>
      </c>
      <c r="J82" s="8">
        <f>_xlfn.XLOOKUP($A82,Sheet3!$B:$B,Sheet3!H:H)</f>
        <v>100</v>
      </c>
      <c r="K82" s="8">
        <f>_xlfn.XLOOKUP($A82,Sheet3!$B:$B,Sheet3!I:I)</f>
        <v>60</v>
      </c>
      <c r="L82" s="8">
        <f>_xlfn.XLOOKUP($A82,Sheet3!$B:$B,Sheet3!J:J)</f>
        <v>40</v>
      </c>
      <c r="M82" s="8">
        <f>_xlfn.XLOOKUP($A82,Sheet4!$B:$B,Sheet4!H:H)</f>
        <v>100</v>
      </c>
      <c r="N82" s="8">
        <f>_xlfn.XLOOKUP($A82,Sheet4!$B:$B,Sheet4!I:I)</f>
        <v>0</v>
      </c>
      <c r="O82" s="9">
        <f>_xlfn.XLOOKUP($A82,Sheet4!$B:$B,Sheet4!J:J)</f>
        <v>1</v>
      </c>
      <c r="P82" s="8">
        <f>_xlfn.XLOOKUP($A82,Sheet5!$B:$B,Sheet5!H:H)</f>
        <v>30</v>
      </c>
      <c r="Q82" s="8">
        <f>_xlfn.XLOOKUP($A82,Sheet5!$B:$B,Sheet5!I:I)</f>
        <v>0</v>
      </c>
      <c r="R82" s="8">
        <f>_xlfn.XLOOKUP($A82,Sheet5!$B:$B,Sheet5!J:J)</f>
        <v>0</v>
      </c>
      <c r="S82" s="8">
        <f>_xlfn.XLOOKUP($A82,Sheet6!$B:$B,Sheet6!H:H)</f>
        <v>100</v>
      </c>
      <c r="T82" s="8">
        <f>_xlfn.XLOOKUP($A82,Sheet6!$B:$B,Sheet6!I:I)</f>
        <v>100</v>
      </c>
      <c r="U82" s="9">
        <f>_xlfn.XLOOKUP($A82,Sheet6!$B:$B,Sheet6!J:J)</f>
        <v>16</v>
      </c>
      <c r="V82" s="8">
        <f>_xlfn.XLOOKUP($A82,Sheet7!$B:$B,Sheet7!H:H)</f>
        <v>50</v>
      </c>
      <c r="W82" s="8">
        <f>_xlfn.XLOOKUP($A82,Sheet7!$B:$B,Sheet7!I:I)</f>
        <v>20</v>
      </c>
      <c r="X82" s="8">
        <f>_xlfn.XLOOKUP($A82,Sheet7!$B:$B,Sheet7!J:J)</f>
        <v>0</v>
      </c>
      <c r="Y82" s="8">
        <f>_xlfn.XLOOKUP($A82,Sheet8!$B:$B,Sheet8!H:H)</f>
        <v>100</v>
      </c>
      <c r="Z82" s="8">
        <f>_xlfn.XLOOKUP($A82,Sheet8!$B:$B,Sheet8!I:I)</f>
        <v>0</v>
      </c>
      <c r="AA82" s="9">
        <f>_xlfn.XLOOKUP($A82,Sheet8!$B:$B,Sheet8!J:J)</f>
        <v>35</v>
      </c>
      <c r="AB82" s="6">
        <f>_xlfn.XLOOKUP($A82,Sheet1!$B:$B,Sheet1!G:G,0)+_xlfn.XLOOKUP($A82,Sheet2!$B:$B,Sheet2!G:G,0)</f>
        <v>329</v>
      </c>
      <c r="AC82" s="6">
        <f>_xlfn.XLOOKUP($A82,Sheet3!$B:$B,Sheet3!G:G,0)+_xlfn.XLOOKUP($A82,Sheet4!$B:$B,Sheet4!G:G,0)</f>
        <v>301</v>
      </c>
      <c r="AD82" s="6">
        <f>_xlfn.XLOOKUP($A82,Sheet5!$B:$B,Sheet5!G:G,0)+_xlfn.XLOOKUP($A82,Sheet6!$B:$B,Sheet6!G:G,0)</f>
        <v>246</v>
      </c>
      <c r="AE82" s="6">
        <f>_xlfn.XLOOKUP($A82,Sheet7!$B:$B,Sheet7!G:G,0)+_xlfn.XLOOKUP($A82,Sheet8!$B:$B,Sheet8!G:G,0)</f>
        <v>205</v>
      </c>
      <c r="AF82" s="6" cm="1">
        <f t="array" ref="AF82">SUM(IFERROR(AB82:AE82,0))</f>
        <v>1081</v>
      </c>
      <c r="AG82" s="6">
        <f t="shared" si="1"/>
        <v>79</v>
      </c>
    </row>
    <row r="83" spans="1:33" ht="15.6" x14ac:dyDescent="0.3">
      <c r="A83" s="6" t="s">
        <v>351</v>
      </c>
      <c r="B83" s="6" t="str">
        <f>_xlfn.XLOOKUP($A83,Sheet3!$B:$B,Sheet3!D:D)</f>
        <v>中山市中山纪念中学</v>
      </c>
      <c r="C83" s="7" t="str">
        <f>_xlfn.XLOOKUP($A83,Sheet3!$B:$B,Sheet3!E:E)</f>
        <v>周祎</v>
      </c>
      <c r="D83" s="6">
        <f>_xlfn.XLOOKUP($A83,Sheet1!$B:$B,Sheet1!H:H)</f>
        <v>33</v>
      </c>
      <c r="E83" s="6">
        <f>_xlfn.XLOOKUP($A83,Sheet1!$B:$B,Sheet1!I:I)</f>
        <v>0</v>
      </c>
      <c r="F83" s="6">
        <f>_xlfn.XLOOKUP($A83,Sheet1!$B:$B,Sheet1!J:J)</f>
        <v>7</v>
      </c>
      <c r="G83" s="6">
        <f>_xlfn.XLOOKUP($A83,Sheet2!$B:$B,Sheet2!H:H)</f>
        <v>100</v>
      </c>
      <c r="H83" s="6">
        <f>_xlfn.XLOOKUP($A83,Sheet2!$B:$B,Sheet2!I:I)</f>
        <v>56</v>
      </c>
      <c r="I83" s="7">
        <f>_xlfn.XLOOKUP($A83,Sheet2!$B:$B,Sheet2!J:J)</f>
        <v>22</v>
      </c>
      <c r="J83" s="8">
        <f>_xlfn.XLOOKUP($A83,Sheet3!$B:$B,Sheet3!H:H)</f>
        <v>79</v>
      </c>
      <c r="K83" s="8">
        <f>_xlfn.XLOOKUP($A83,Sheet3!$B:$B,Sheet3!I:I)</f>
        <v>60</v>
      </c>
      <c r="L83" s="8">
        <f>_xlfn.XLOOKUP($A83,Sheet3!$B:$B,Sheet3!J:J)</f>
        <v>40</v>
      </c>
      <c r="M83" s="8">
        <f>_xlfn.XLOOKUP($A83,Sheet4!$B:$B,Sheet4!H:H)</f>
        <v>60</v>
      </c>
      <c r="N83" s="8">
        <f>_xlfn.XLOOKUP($A83,Sheet4!$B:$B,Sheet4!I:I)</f>
        <v>35</v>
      </c>
      <c r="O83" s="9">
        <f>_xlfn.XLOOKUP($A83,Sheet4!$B:$B,Sheet4!J:J)</f>
        <v>5</v>
      </c>
      <c r="P83" s="8">
        <f>_xlfn.XLOOKUP($A83,Sheet5!$B:$B,Sheet5!H:H)</f>
        <v>55</v>
      </c>
      <c r="Q83" s="8">
        <f>_xlfn.XLOOKUP($A83,Sheet5!$B:$B,Sheet5!I:I)</f>
        <v>48</v>
      </c>
      <c r="R83" s="8">
        <f>_xlfn.XLOOKUP($A83,Sheet5!$B:$B,Sheet5!J:J)</f>
        <v>10</v>
      </c>
      <c r="S83" s="8">
        <f>_xlfn.XLOOKUP($A83,Sheet6!$B:$B,Sheet6!H:H)</f>
        <v>100</v>
      </c>
      <c r="T83" s="8">
        <f>_xlfn.XLOOKUP($A83,Sheet6!$B:$B,Sheet6!I:I)</f>
        <v>36</v>
      </c>
      <c r="U83" s="9">
        <f>_xlfn.XLOOKUP($A83,Sheet6!$B:$B,Sheet6!J:J)</f>
        <v>36</v>
      </c>
      <c r="V83" s="8">
        <f>_xlfn.XLOOKUP($A83,Sheet7!$B:$B,Sheet7!H:H)</f>
        <v>100</v>
      </c>
      <c r="W83" s="8">
        <f>_xlfn.XLOOKUP($A83,Sheet7!$B:$B,Sheet7!I:I)</f>
        <v>70</v>
      </c>
      <c r="X83" s="8">
        <f>_xlfn.XLOOKUP($A83,Sheet7!$B:$B,Sheet7!J:J)</f>
        <v>14</v>
      </c>
      <c r="Y83" s="8">
        <f>_xlfn.XLOOKUP($A83,Sheet8!$B:$B,Sheet8!H:H)</f>
        <v>100</v>
      </c>
      <c r="Z83" s="8">
        <f>_xlfn.XLOOKUP($A83,Sheet8!$B:$B,Sheet8!I:I)</f>
        <v>10</v>
      </c>
      <c r="AA83" s="9">
        <f>_xlfn.XLOOKUP($A83,Sheet8!$B:$B,Sheet8!J:J)</f>
        <v>0</v>
      </c>
      <c r="AB83" s="6">
        <f>_xlfn.XLOOKUP($A83,Sheet1!$B:$B,Sheet1!G:G,0)+_xlfn.XLOOKUP($A83,Sheet2!$B:$B,Sheet2!G:G,0)</f>
        <v>218</v>
      </c>
      <c r="AC83" s="6">
        <f>_xlfn.XLOOKUP($A83,Sheet3!$B:$B,Sheet3!G:G,0)+_xlfn.XLOOKUP($A83,Sheet4!$B:$B,Sheet4!G:G,0)</f>
        <v>279</v>
      </c>
      <c r="AD83" s="6">
        <f>_xlfn.XLOOKUP($A83,Sheet5!$B:$B,Sheet5!G:G,0)+_xlfn.XLOOKUP($A83,Sheet6!$B:$B,Sheet6!G:G,0)</f>
        <v>285</v>
      </c>
      <c r="AE83" s="6">
        <f>_xlfn.XLOOKUP($A83,Sheet7!$B:$B,Sheet7!G:G,0)+_xlfn.XLOOKUP($A83,Sheet8!$B:$B,Sheet8!G:G,0)</f>
        <v>294</v>
      </c>
      <c r="AF83" s="6" cm="1">
        <f t="array" ref="AF83">SUM(IFERROR(AB83:AE83,0))</f>
        <v>1076</v>
      </c>
      <c r="AG83" s="6">
        <f t="shared" si="1"/>
        <v>80</v>
      </c>
    </row>
    <row r="84" spans="1:33" ht="15.6" x14ac:dyDescent="0.3">
      <c r="A84" s="6" t="s">
        <v>444</v>
      </c>
      <c r="B84" s="6" t="str">
        <f>_xlfn.XLOOKUP($A84,Sheet3!$B:$B,Sheet3!D:D)</f>
        <v>安徽师范大学附属中学</v>
      </c>
      <c r="C84" s="7" t="str">
        <f>_xlfn.XLOOKUP($A84,Sheet3!$B:$B,Sheet3!E:E)</f>
        <v>王天琢</v>
      </c>
      <c r="D84" s="6">
        <f>_xlfn.XLOOKUP($A84,Sheet1!$B:$B,Sheet1!H:H)</f>
        <v>24</v>
      </c>
      <c r="E84" s="6">
        <f>_xlfn.XLOOKUP($A84,Sheet1!$B:$B,Sheet1!I:I)</f>
        <v>0</v>
      </c>
      <c r="F84" s="6">
        <f>_xlfn.XLOOKUP($A84,Sheet1!$B:$B,Sheet1!J:J)</f>
        <v>0</v>
      </c>
      <c r="G84" s="6">
        <f>_xlfn.XLOOKUP($A84,Sheet2!$B:$B,Sheet2!H:H)</f>
        <v>100</v>
      </c>
      <c r="H84" s="6">
        <f>_xlfn.XLOOKUP($A84,Sheet2!$B:$B,Sheet2!I:I)</f>
        <v>8</v>
      </c>
      <c r="I84" s="7">
        <f>_xlfn.XLOOKUP($A84,Sheet2!$B:$B,Sheet2!J:J)</f>
        <v>12</v>
      </c>
      <c r="J84" s="8">
        <f>_xlfn.XLOOKUP($A84,Sheet3!$B:$B,Sheet3!H:H)</f>
        <v>100</v>
      </c>
      <c r="K84" s="8">
        <f>_xlfn.XLOOKUP($A84,Sheet3!$B:$B,Sheet3!I:I)</f>
        <v>40</v>
      </c>
      <c r="L84" s="8">
        <f>_xlfn.XLOOKUP($A84,Sheet3!$B:$B,Sheet3!J:J)</f>
        <v>10</v>
      </c>
      <c r="M84" s="8">
        <f>_xlfn.XLOOKUP($A84,Sheet4!$B:$B,Sheet4!H:H)</f>
        <v>100</v>
      </c>
      <c r="N84" s="8">
        <f>_xlfn.XLOOKUP($A84,Sheet4!$B:$B,Sheet4!I:I)</f>
        <v>75</v>
      </c>
      <c r="O84" s="9">
        <f>_xlfn.XLOOKUP($A84,Sheet4!$B:$B,Sheet4!J:J)</f>
        <v>5</v>
      </c>
      <c r="P84" s="8">
        <f>_xlfn.XLOOKUP($A84,Sheet5!$B:$B,Sheet5!H:H)</f>
        <v>100</v>
      </c>
      <c r="Q84" s="8">
        <f>_xlfn.XLOOKUP($A84,Sheet5!$B:$B,Sheet5!I:I)</f>
        <v>32</v>
      </c>
      <c r="R84" s="8">
        <f>_xlfn.XLOOKUP($A84,Sheet5!$B:$B,Sheet5!J:J)</f>
        <v>0</v>
      </c>
      <c r="S84" s="8">
        <f>_xlfn.XLOOKUP($A84,Sheet6!$B:$B,Sheet6!H:H)</f>
        <v>100</v>
      </c>
      <c r="T84" s="8">
        <f>_xlfn.XLOOKUP($A84,Sheet6!$B:$B,Sheet6!I:I)</f>
        <v>60</v>
      </c>
      <c r="U84" s="9">
        <f>_xlfn.XLOOKUP($A84,Sheet6!$B:$B,Sheet6!J:J)</f>
        <v>0</v>
      </c>
      <c r="V84" s="8">
        <f>_xlfn.XLOOKUP($A84,Sheet7!$B:$B,Sheet7!H:H)</f>
        <v>100</v>
      </c>
      <c r="W84" s="8">
        <f>_xlfn.XLOOKUP($A84,Sheet7!$B:$B,Sheet7!I:I)</f>
        <v>60</v>
      </c>
      <c r="X84" s="8">
        <f>_xlfn.XLOOKUP($A84,Sheet7!$B:$B,Sheet7!J:J)</f>
        <v>42</v>
      </c>
      <c r="Y84" s="8">
        <f>_xlfn.XLOOKUP($A84,Sheet8!$B:$B,Sheet8!H:H)</f>
        <v>100</v>
      </c>
      <c r="Z84" s="8">
        <f>_xlfn.XLOOKUP($A84,Sheet8!$B:$B,Sheet8!I:I)</f>
        <v>0</v>
      </c>
      <c r="AA84" s="9">
        <f>_xlfn.XLOOKUP($A84,Sheet8!$B:$B,Sheet8!J:J)</f>
        <v>0</v>
      </c>
      <c r="AB84" s="6">
        <f>_xlfn.XLOOKUP($A84,Sheet1!$B:$B,Sheet1!G:G,0)+_xlfn.XLOOKUP($A84,Sheet2!$B:$B,Sheet2!G:G,0)</f>
        <v>144</v>
      </c>
      <c r="AC84" s="6">
        <f>_xlfn.XLOOKUP($A84,Sheet3!$B:$B,Sheet3!G:G,0)+_xlfn.XLOOKUP($A84,Sheet4!$B:$B,Sheet4!G:G,0)</f>
        <v>330</v>
      </c>
      <c r="AD84" s="6">
        <f>_xlfn.XLOOKUP($A84,Sheet5!$B:$B,Sheet5!G:G,0)+_xlfn.XLOOKUP($A84,Sheet6!$B:$B,Sheet6!G:G,0)</f>
        <v>292</v>
      </c>
      <c r="AE84" s="6">
        <f>_xlfn.XLOOKUP($A84,Sheet7!$B:$B,Sheet7!G:G,0)+_xlfn.XLOOKUP($A84,Sheet8!$B:$B,Sheet8!G:G,0)</f>
        <v>302</v>
      </c>
      <c r="AF84" s="6" cm="1">
        <f t="array" ref="AF84">SUM(IFERROR(AB84:AE84,0))</f>
        <v>1068</v>
      </c>
      <c r="AG84" s="6">
        <f t="shared" si="1"/>
        <v>81</v>
      </c>
    </row>
    <row r="85" spans="1:33" ht="15.6" x14ac:dyDescent="0.3">
      <c r="A85" s="6" t="s">
        <v>293</v>
      </c>
      <c r="B85" s="6" t="str">
        <f>_xlfn.XLOOKUP($A85,Sheet3!$B:$B,Sheet3!D:D)</f>
        <v>中山市三鑫学校</v>
      </c>
      <c r="C85" s="7" t="str">
        <f>_xlfn.XLOOKUP($A85,Sheet3!$B:$B,Sheet3!E:E)</f>
        <v>袁煜智</v>
      </c>
      <c r="D85" s="6">
        <f>_xlfn.XLOOKUP($A85,Sheet1!$B:$B,Sheet1!H:H)</f>
        <v>42</v>
      </c>
      <c r="E85" s="6">
        <f>_xlfn.XLOOKUP($A85,Sheet1!$B:$B,Sheet1!I:I)</f>
        <v>0</v>
      </c>
      <c r="F85" s="6">
        <f>_xlfn.XLOOKUP($A85,Sheet1!$B:$B,Sheet1!J:J)</f>
        <v>16</v>
      </c>
      <c r="G85" s="6">
        <f>_xlfn.XLOOKUP($A85,Sheet2!$B:$B,Sheet2!H:H)</f>
        <v>100</v>
      </c>
      <c r="H85" s="6">
        <f>_xlfn.XLOOKUP($A85,Sheet2!$B:$B,Sheet2!I:I)</f>
        <v>32</v>
      </c>
      <c r="I85" s="7">
        <f>_xlfn.XLOOKUP($A85,Sheet2!$B:$B,Sheet2!J:J)</f>
        <v>34</v>
      </c>
      <c r="J85" s="8">
        <f>_xlfn.XLOOKUP($A85,Sheet3!$B:$B,Sheet3!H:H)</f>
        <v>100</v>
      </c>
      <c r="K85" s="8">
        <f>_xlfn.XLOOKUP($A85,Sheet3!$B:$B,Sheet3!I:I)</f>
        <v>40</v>
      </c>
      <c r="L85" s="8">
        <f>_xlfn.XLOOKUP($A85,Sheet3!$B:$B,Sheet3!J:J)</f>
        <v>40</v>
      </c>
      <c r="M85" s="8">
        <f>_xlfn.XLOOKUP($A85,Sheet4!$B:$B,Sheet4!H:H)</f>
        <v>60</v>
      </c>
      <c r="N85" s="8">
        <f>_xlfn.XLOOKUP($A85,Sheet4!$B:$B,Sheet4!I:I)</f>
        <v>100</v>
      </c>
      <c r="O85" s="9">
        <f>_xlfn.XLOOKUP($A85,Sheet4!$B:$B,Sheet4!J:J)</f>
        <v>5</v>
      </c>
      <c r="P85" s="8">
        <f>_xlfn.XLOOKUP($A85,Sheet5!$B:$B,Sheet5!H:H)</f>
        <v>75</v>
      </c>
      <c r="Q85" s="8">
        <f>_xlfn.XLOOKUP($A85,Sheet5!$B:$B,Sheet5!I:I)</f>
        <v>32</v>
      </c>
      <c r="R85" s="8">
        <f>_xlfn.XLOOKUP($A85,Sheet5!$B:$B,Sheet5!J:J)</f>
        <v>0</v>
      </c>
      <c r="S85" s="8">
        <f>_xlfn.XLOOKUP($A85,Sheet6!$B:$B,Sheet6!H:H)</f>
        <v>100</v>
      </c>
      <c r="T85" s="8">
        <f>_xlfn.XLOOKUP($A85,Sheet6!$B:$B,Sheet6!I:I)</f>
        <v>36</v>
      </c>
      <c r="U85" s="9">
        <f>_xlfn.XLOOKUP($A85,Sheet6!$B:$B,Sheet6!J:J)</f>
        <v>72</v>
      </c>
      <c r="V85" s="8">
        <f>_xlfn.XLOOKUP($A85,Sheet7!$B:$B,Sheet7!H:H)</f>
        <v>50</v>
      </c>
      <c r="W85" s="8">
        <f>_xlfn.XLOOKUP($A85,Sheet7!$B:$B,Sheet7!I:I)</f>
        <v>40</v>
      </c>
      <c r="X85" s="8">
        <f>_xlfn.XLOOKUP($A85,Sheet7!$B:$B,Sheet7!J:J)</f>
        <v>14</v>
      </c>
      <c r="Y85" s="8">
        <f>_xlfn.XLOOKUP($A85,Sheet8!$B:$B,Sheet8!H:H)</f>
        <v>70</v>
      </c>
      <c r="Z85" s="8">
        <f>_xlfn.XLOOKUP($A85,Sheet8!$B:$B,Sheet8!I:I)</f>
        <v>0</v>
      </c>
      <c r="AA85" s="9">
        <f>_xlfn.XLOOKUP($A85,Sheet8!$B:$B,Sheet8!J:J)</f>
        <v>0</v>
      </c>
      <c r="AB85" s="6">
        <f>_xlfn.XLOOKUP($A85,Sheet1!$B:$B,Sheet1!G:G,0)+_xlfn.XLOOKUP($A85,Sheet2!$B:$B,Sheet2!G:G,0)</f>
        <v>224</v>
      </c>
      <c r="AC85" s="6">
        <f>_xlfn.XLOOKUP($A85,Sheet3!$B:$B,Sheet3!G:G,0)+_xlfn.XLOOKUP($A85,Sheet4!$B:$B,Sheet4!G:G,0)</f>
        <v>345</v>
      </c>
      <c r="AD85" s="6">
        <f>_xlfn.XLOOKUP($A85,Sheet5!$B:$B,Sheet5!G:G,0)+_xlfn.XLOOKUP($A85,Sheet6!$B:$B,Sheet6!G:G,0)</f>
        <v>315</v>
      </c>
      <c r="AE85" s="6">
        <f>_xlfn.XLOOKUP($A85,Sheet7!$B:$B,Sheet7!G:G,0)+_xlfn.XLOOKUP($A85,Sheet8!$B:$B,Sheet8!G:G,0)</f>
        <v>174</v>
      </c>
      <c r="AF85" s="6" cm="1">
        <f t="array" ref="AF85">SUM(IFERROR(AB85:AE85,0))</f>
        <v>1058</v>
      </c>
      <c r="AG85" s="6">
        <f t="shared" si="1"/>
        <v>82</v>
      </c>
    </row>
    <row r="86" spans="1:33" ht="15.6" x14ac:dyDescent="0.3">
      <c r="A86" s="6" t="s">
        <v>436</v>
      </c>
      <c r="B86" s="6" t="str">
        <f>_xlfn.XLOOKUP($A86,Sheet3!$B:$B,Sheet3!D:D)</f>
        <v>重庆市育才中学校</v>
      </c>
      <c r="C86" s="7" t="str">
        <f>_xlfn.XLOOKUP($A86,Sheet3!$B:$B,Sheet3!E:E)</f>
        <v>周琛乔</v>
      </c>
      <c r="D86" s="6">
        <f>_xlfn.XLOOKUP($A86,Sheet1!$B:$B,Sheet1!H:H)</f>
        <v>24</v>
      </c>
      <c r="E86" s="6">
        <f>_xlfn.XLOOKUP($A86,Sheet1!$B:$B,Sheet1!I:I)</f>
        <v>0</v>
      </c>
      <c r="F86" s="6">
        <f>_xlfn.XLOOKUP($A86,Sheet1!$B:$B,Sheet1!J:J)</f>
        <v>0</v>
      </c>
      <c r="G86" s="6">
        <f>_xlfn.XLOOKUP($A86,Sheet2!$B:$B,Sheet2!H:H)</f>
        <v>100</v>
      </c>
      <c r="H86" s="6">
        <f>_xlfn.XLOOKUP($A86,Sheet2!$B:$B,Sheet2!I:I)</f>
        <v>32</v>
      </c>
      <c r="I86" s="7">
        <f>_xlfn.XLOOKUP($A86,Sheet2!$B:$B,Sheet2!J:J)</f>
        <v>0</v>
      </c>
      <c r="J86" s="8">
        <f>_xlfn.XLOOKUP($A86,Sheet3!$B:$B,Sheet3!H:H)</f>
        <v>88</v>
      </c>
      <c r="K86" s="8">
        <f>_xlfn.XLOOKUP($A86,Sheet3!$B:$B,Sheet3!I:I)</f>
        <v>60</v>
      </c>
      <c r="L86" s="8">
        <f>_xlfn.XLOOKUP($A86,Sheet3!$B:$B,Sheet3!J:J)</f>
        <v>20</v>
      </c>
      <c r="M86" s="8">
        <f>_xlfn.XLOOKUP($A86,Sheet4!$B:$B,Sheet4!H:H)</f>
        <v>100</v>
      </c>
      <c r="N86" s="8">
        <f>_xlfn.XLOOKUP($A86,Sheet4!$B:$B,Sheet4!I:I)</f>
        <v>10</v>
      </c>
      <c r="O86" s="9">
        <f>_xlfn.XLOOKUP($A86,Sheet4!$B:$B,Sheet4!J:J)</f>
        <v>5</v>
      </c>
      <c r="P86" s="8">
        <f>_xlfn.XLOOKUP($A86,Sheet5!$B:$B,Sheet5!H:H)</f>
        <v>100</v>
      </c>
      <c r="Q86" s="8">
        <f>_xlfn.XLOOKUP($A86,Sheet5!$B:$B,Sheet5!I:I)</f>
        <v>32</v>
      </c>
      <c r="R86" s="8">
        <f>_xlfn.XLOOKUP($A86,Sheet5!$B:$B,Sheet5!J:J)</f>
        <v>20</v>
      </c>
      <c r="S86" s="8">
        <f>_xlfn.XLOOKUP($A86,Sheet6!$B:$B,Sheet6!H:H)</f>
        <v>100</v>
      </c>
      <c r="T86" s="8">
        <f>_xlfn.XLOOKUP($A86,Sheet6!$B:$B,Sheet6!I:I)</f>
        <v>100</v>
      </c>
      <c r="U86" s="9">
        <f>_xlfn.XLOOKUP($A86,Sheet6!$B:$B,Sheet6!J:J)</f>
        <v>72</v>
      </c>
      <c r="V86" s="8">
        <f>_xlfn.XLOOKUP($A86,Sheet7!$B:$B,Sheet7!H:H)</f>
        <v>75</v>
      </c>
      <c r="W86" s="8">
        <f>_xlfn.XLOOKUP($A86,Sheet7!$B:$B,Sheet7!I:I)</f>
        <v>10</v>
      </c>
      <c r="X86" s="8">
        <f>_xlfn.XLOOKUP($A86,Sheet7!$B:$B,Sheet7!J:J)</f>
        <v>0</v>
      </c>
      <c r="Y86" s="8">
        <f>_xlfn.XLOOKUP($A86,Sheet8!$B:$B,Sheet8!H:H)</f>
        <v>100</v>
      </c>
      <c r="Z86" s="8">
        <f>_xlfn.XLOOKUP($A86,Sheet8!$B:$B,Sheet8!I:I)</f>
        <v>0</v>
      </c>
      <c r="AA86" s="9">
        <f>_xlfn.XLOOKUP($A86,Sheet8!$B:$B,Sheet8!J:J)</f>
        <v>10</v>
      </c>
      <c r="AB86" s="6">
        <f>_xlfn.XLOOKUP($A86,Sheet1!$B:$B,Sheet1!G:G,0)+_xlfn.XLOOKUP($A86,Sheet2!$B:$B,Sheet2!G:G,0)</f>
        <v>156</v>
      </c>
      <c r="AC86" s="6">
        <f>_xlfn.XLOOKUP($A86,Sheet3!$B:$B,Sheet3!G:G,0)+_xlfn.XLOOKUP($A86,Sheet4!$B:$B,Sheet4!G:G,0)</f>
        <v>283</v>
      </c>
      <c r="AD86" s="6">
        <f>_xlfn.XLOOKUP($A86,Sheet5!$B:$B,Sheet5!G:G,0)+_xlfn.XLOOKUP($A86,Sheet6!$B:$B,Sheet6!G:G,0)</f>
        <v>424</v>
      </c>
      <c r="AE86" s="6">
        <f>_xlfn.XLOOKUP($A86,Sheet7!$B:$B,Sheet7!G:G,0)+_xlfn.XLOOKUP($A86,Sheet8!$B:$B,Sheet8!G:G,0)</f>
        <v>195</v>
      </c>
      <c r="AF86" s="6" cm="1">
        <f t="array" ref="AF86">SUM(IFERROR(AB86:AE86,0))</f>
        <v>1058</v>
      </c>
      <c r="AG86" s="6">
        <f t="shared" si="1"/>
        <v>82</v>
      </c>
    </row>
    <row r="87" spans="1:33" ht="15.6" x14ac:dyDescent="0.3">
      <c r="A87" s="6" t="s">
        <v>406</v>
      </c>
      <c r="B87" s="6" t="str">
        <f>_xlfn.XLOOKUP($A87,Sheet3!$B:$B,Sheet3!D:D)</f>
        <v>中山市中山纪念中学</v>
      </c>
      <c r="C87" s="7" t="str">
        <f>_xlfn.XLOOKUP($A87,Sheet3!$B:$B,Sheet3!E:E)</f>
        <v>黄景梵</v>
      </c>
      <c r="D87" s="6">
        <f>_xlfn.XLOOKUP($A87,Sheet1!$B:$B,Sheet1!H:H)</f>
        <v>24</v>
      </c>
      <c r="E87" s="6">
        <f>_xlfn.XLOOKUP($A87,Sheet1!$B:$B,Sheet1!I:I)</f>
        <v>0</v>
      </c>
      <c r="F87" s="6">
        <f>_xlfn.XLOOKUP($A87,Sheet1!$B:$B,Sheet1!J:J)</f>
        <v>0</v>
      </c>
      <c r="G87" s="6">
        <f>_xlfn.XLOOKUP($A87,Sheet2!$B:$B,Sheet2!H:H)</f>
        <v>100</v>
      </c>
      <c r="H87" s="6">
        <f>_xlfn.XLOOKUP($A87,Sheet2!$B:$B,Sheet2!I:I)</f>
        <v>8</v>
      </c>
      <c r="I87" s="7">
        <f>_xlfn.XLOOKUP($A87,Sheet2!$B:$B,Sheet2!J:J)</f>
        <v>34</v>
      </c>
      <c r="J87" s="8">
        <f>_xlfn.XLOOKUP($A87,Sheet3!$B:$B,Sheet3!H:H)</f>
        <v>100</v>
      </c>
      <c r="K87" s="8">
        <f>_xlfn.XLOOKUP($A87,Sheet3!$B:$B,Sheet3!I:I)</f>
        <v>40</v>
      </c>
      <c r="L87" s="8">
        <f>_xlfn.XLOOKUP($A87,Sheet3!$B:$B,Sheet3!J:J)</f>
        <v>20</v>
      </c>
      <c r="M87" s="8">
        <f>_xlfn.XLOOKUP($A87,Sheet4!$B:$B,Sheet4!H:H)</f>
        <v>100</v>
      </c>
      <c r="N87" s="8">
        <f>_xlfn.XLOOKUP($A87,Sheet4!$B:$B,Sheet4!I:I)</f>
        <v>11</v>
      </c>
      <c r="O87" s="9">
        <f>_xlfn.XLOOKUP($A87,Sheet4!$B:$B,Sheet4!J:J)</f>
        <v>5</v>
      </c>
      <c r="P87" s="8">
        <f>_xlfn.XLOOKUP($A87,Sheet5!$B:$B,Sheet5!H:H)</f>
        <v>100</v>
      </c>
      <c r="Q87" s="8">
        <f>_xlfn.XLOOKUP($A87,Sheet5!$B:$B,Sheet5!I:I)</f>
        <v>32</v>
      </c>
      <c r="R87" s="8">
        <f>_xlfn.XLOOKUP($A87,Sheet5!$B:$B,Sheet5!J:J)</f>
        <v>0</v>
      </c>
      <c r="S87" s="8">
        <f>_xlfn.XLOOKUP($A87,Sheet6!$B:$B,Sheet6!H:H)</f>
        <v>100</v>
      </c>
      <c r="T87" s="8">
        <f>_xlfn.XLOOKUP($A87,Sheet6!$B:$B,Sheet6!I:I)</f>
        <v>36</v>
      </c>
      <c r="U87" s="9">
        <f>_xlfn.XLOOKUP($A87,Sheet6!$B:$B,Sheet6!J:J)</f>
        <v>16</v>
      </c>
      <c r="V87" s="8">
        <f>_xlfn.XLOOKUP($A87,Sheet7!$B:$B,Sheet7!H:H)</f>
        <v>100</v>
      </c>
      <c r="W87" s="8">
        <f>_xlfn.XLOOKUP($A87,Sheet7!$B:$B,Sheet7!I:I)</f>
        <v>90</v>
      </c>
      <c r="X87" s="8">
        <f>_xlfn.XLOOKUP($A87,Sheet7!$B:$B,Sheet7!J:J)</f>
        <v>0</v>
      </c>
      <c r="Y87" s="8">
        <f>_xlfn.XLOOKUP($A87,Sheet8!$B:$B,Sheet8!H:H)</f>
        <v>100</v>
      </c>
      <c r="Z87" s="8">
        <f>_xlfn.XLOOKUP($A87,Sheet8!$B:$B,Sheet8!I:I)</f>
        <v>15</v>
      </c>
      <c r="AA87" s="9">
        <f>_xlfn.XLOOKUP($A87,Sheet8!$B:$B,Sheet8!J:J)</f>
        <v>25</v>
      </c>
      <c r="AB87" s="6">
        <f>_xlfn.XLOOKUP($A87,Sheet1!$B:$B,Sheet1!G:G,0)+_xlfn.XLOOKUP($A87,Sheet2!$B:$B,Sheet2!G:G,0)</f>
        <v>166</v>
      </c>
      <c r="AC87" s="6">
        <f>_xlfn.XLOOKUP($A87,Sheet3!$B:$B,Sheet3!G:G,0)+_xlfn.XLOOKUP($A87,Sheet4!$B:$B,Sheet4!G:G,0)</f>
        <v>276</v>
      </c>
      <c r="AD87" s="6">
        <f>_xlfn.XLOOKUP($A87,Sheet5!$B:$B,Sheet5!G:G,0)+_xlfn.XLOOKUP($A87,Sheet6!$B:$B,Sheet6!G:G,0)</f>
        <v>284</v>
      </c>
      <c r="AE87" s="6">
        <f>_xlfn.XLOOKUP($A87,Sheet7!$B:$B,Sheet7!G:G,0)+_xlfn.XLOOKUP($A87,Sheet8!$B:$B,Sheet8!G:G,0)</f>
        <v>330</v>
      </c>
      <c r="AF87" s="6" cm="1">
        <f t="array" ref="AF87">SUM(IFERROR(AB87:AE87,0))</f>
        <v>1056</v>
      </c>
      <c r="AG87" s="6">
        <f t="shared" si="1"/>
        <v>84</v>
      </c>
    </row>
    <row r="88" spans="1:33" ht="15.6" x14ac:dyDescent="0.3">
      <c r="A88" s="6" t="s">
        <v>513</v>
      </c>
      <c r="B88" s="6" t="str">
        <f>_xlfn.XLOOKUP($A88,Sheet3!$B:$B,Sheet3!D:D)</f>
        <v>成都市第七中学</v>
      </c>
      <c r="C88" s="7" t="str">
        <f>_xlfn.XLOOKUP($A88,Sheet3!$B:$B,Sheet3!E:E)</f>
        <v>蒋林逍</v>
      </c>
      <c r="D88" s="6">
        <f>_xlfn.XLOOKUP($A88,Sheet1!$B:$B,Sheet1!H:H)</f>
        <v>0</v>
      </c>
      <c r="E88" s="6">
        <f>_xlfn.XLOOKUP($A88,Sheet1!$B:$B,Sheet1!I:I)</f>
        <v>0</v>
      </c>
      <c r="F88" s="6">
        <f>_xlfn.XLOOKUP($A88,Sheet1!$B:$B,Sheet1!J:J)</f>
        <v>0</v>
      </c>
      <c r="G88" s="6">
        <f>_xlfn.XLOOKUP($A88,Sheet2!$B:$B,Sheet2!H:H)</f>
        <v>100</v>
      </c>
      <c r="H88" s="6">
        <f>_xlfn.XLOOKUP($A88,Sheet2!$B:$B,Sheet2!I:I)</f>
        <v>0</v>
      </c>
      <c r="I88" s="7">
        <f>_xlfn.XLOOKUP($A88,Sheet2!$B:$B,Sheet2!J:J)</f>
        <v>20</v>
      </c>
      <c r="J88" s="8">
        <f>_xlfn.XLOOKUP($A88,Sheet3!$B:$B,Sheet3!H:H)</f>
        <v>100</v>
      </c>
      <c r="K88" s="8">
        <f>_xlfn.XLOOKUP($A88,Sheet3!$B:$B,Sheet3!I:I)</f>
        <v>100</v>
      </c>
      <c r="L88" s="8">
        <f>_xlfn.XLOOKUP($A88,Sheet3!$B:$B,Sheet3!J:J)</f>
        <v>40</v>
      </c>
      <c r="M88" s="8">
        <f>_xlfn.XLOOKUP($A88,Sheet4!$B:$B,Sheet4!H:H)</f>
        <v>12</v>
      </c>
      <c r="N88" s="8">
        <f>_xlfn.XLOOKUP($A88,Sheet4!$B:$B,Sheet4!I:I)</f>
        <v>10</v>
      </c>
      <c r="O88" s="9">
        <f>_xlfn.XLOOKUP($A88,Sheet4!$B:$B,Sheet4!J:J)</f>
        <v>0</v>
      </c>
      <c r="P88" s="8">
        <f>_xlfn.XLOOKUP($A88,Sheet5!$B:$B,Sheet5!H:H)</f>
        <v>100</v>
      </c>
      <c r="Q88" s="8">
        <f>_xlfn.XLOOKUP($A88,Sheet5!$B:$B,Sheet5!I:I)</f>
        <v>0</v>
      </c>
      <c r="R88" s="8">
        <f>_xlfn.XLOOKUP($A88,Sheet5!$B:$B,Sheet5!J:J)</f>
        <v>0</v>
      </c>
      <c r="S88" s="8">
        <f>_xlfn.XLOOKUP($A88,Sheet6!$B:$B,Sheet6!H:H)</f>
        <v>100</v>
      </c>
      <c r="T88" s="8">
        <f>_xlfn.XLOOKUP($A88,Sheet6!$B:$B,Sheet6!I:I)</f>
        <v>100</v>
      </c>
      <c r="U88" s="9">
        <f>_xlfn.XLOOKUP($A88,Sheet6!$B:$B,Sheet6!J:J)</f>
        <v>100</v>
      </c>
      <c r="V88" s="8">
        <f>_xlfn.XLOOKUP($A88,Sheet7!$B:$B,Sheet7!H:H)</f>
        <v>100</v>
      </c>
      <c r="W88" s="8">
        <f>_xlfn.XLOOKUP($A88,Sheet7!$B:$B,Sheet7!I:I)</f>
        <v>70</v>
      </c>
      <c r="X88" s="8">
        <f>_xlfn.XLOOKUP($A88,Sheet7!$B:$B,Sheet7!J:J)</f>
        <v>0</v>
      </c>
      <c r="Y88" s="8">
        <f>_xlfn.XLOOKUP($A88,Sheet8!$B:$B,Sheet8!H:H)</f>
        <v>100</v>
      </c>
      <c r="Z88" s="8">
        <f>_xlfn.XLOOKUP($A88,Sheet8!$B:$B,Sheet8!I:I)</f>
        <v>0</v>
      </c>
      <c r="AA88" s="9">
        <f>_xlfn.XLOOKUP($A88,Sheet8!$B:$B,Sheet8!J:J)</f>
        <v>0</v>
      </c>
      <c r="AB88" s="6">
        <f>_xlfn.XLOOKUP($A88,Sheet1!$B:$B,Sheet1!G:G,0)+_xlfn.XLOOKUP($A88,Sheet2!$B:$B,Sheet2!G:G,0)</f>
        <v>120</v>
      </c>
      <c r="AC88" s="6">
        <f>_xlfn.XLOOKUP($A88,Sheet3!$B:$B,Sheet3!G:G,0)+_xlfn.XLOOKUP($A88,Sheet4!$B:$B,Sheet4!G:G,0)</f>
        <v>262</v>
      </c>
      <c r="AD88" s="6">
        <f>_xlfn.XLOOKUP($A88,Sheet5!$B:$B,Sheet5!G:G,0)+_xlfn.XLOOKUP($A88,Sheet6!$B:$B,Sheet6!G:G,0)</f>
        <v>400</v>
      </c>
      <c r="AE88" s="6">
        <f>_xlfn.XLOOKUP($A88,Sheet7!$B:$B,Sheet7!G:G,0)+_xlfn.XLOOKUP($A88,Sheet8!$B:$B,Sheet8!G:G,0)</f>
        <v>270</v>
      </c>
      <c r="AF88" s="6" cm="1">
        <f t="array" ref="AF88">SUM(IFERROR(AB88:AE88,0))</f>
        <v>1052</v>
      </c>
      <c r="AG88" s="6">
        <f t="shared" si="1"/>
        <v>85</v>
      </c>
    </row>
    <row r="89" spans="1:33" ht="15.6" x14ac:dyDescent="0.3">
      <c r="A89" s="6" t="s">
        <v>354</v>
      </c>
      <c r="B89" s="6" t="str">
        <f>_xlfn.XLOOKUP($A89,Sheet3!$B:$B,Sheet3!D:D)</f>
        <v>安徽师范大学附属中学</v>
      </c>
      <c r="C89" s="7" t="str">
        <f>_xlfn.XLOOKUP($A89,Sheet3!$B:$B,Sheet3!E:E)</f>
        <v>程竹</v>
      </c>
      <c r="D89" s="6">
        <f>_xlfn.XLOOKUP($A89,Sheet1!$B:$B,Sheet1!H:H)</f>
        <v>33</v>
      </c>
      <c r="E89" s="6">
        <f>_xlfn.XLOOKUP($A89,Sheet1!$B:$B,Sheet1!I:I)</f>
        <v>0</v>
      </c>
      <c r="F89" s="6">
        <f>_xlfn.XLOOKUP($A89,Sheet1!$B:$B,Sheet1!J:J)</f>
        <v>7</v>
      </c>
      <c r="G89" s="6">
        <f>_xlfn.XLOOKUP($A89,Sheet2!$B:$B,Sheet2!H:H)</f>
        <v>100</v>
      </c>
      <c r="H89" s="6">
        <f>_xlfn.XLOOKUP($A89,Sheet2!$B:$B,Sheet2!I:I)</f>
        <v>32</v>
      </c>
      <c r="I89" s="7">
        <f>_xlfn.XLOOKUP($A89,Sheet2!$B:$B,Sheet2!J:J)</f>
        <v>12</v>
      </c>
      <c r="J89" s="8">
        <f>_xlfn.XLOOKUP($A89,Sheet3!$B:$B,Sheet3!H:H)</f>
        <v>45</v>
      </c>
      <c r="K89" s="8">
        <f>_xlfn.XLOOKUP($A89,Sheet3!$B:$B,Sheet3!I:I)</f>
        <v>20</v>
      </c>
      <c r="L89" s="8">
        <f>_xlfn.XLOOKUP($A89,Sheet3!$B:$B,Sheet3!J:J)</f>
        <v>40</v>
      </c>
      <c r="M89" s="8">
        <f>_xlfn.XLOOKUP($A89,Sheet4!$B:$B,Sheet4!H:H)</f>
        <v>60</v>
      </c>
      <c r="N89" s="8">
        <f>_xlfn.XLOOKUP($A89,Sheet4!$B:$B,Sheet4!I:I)</f>
        <v>11</v>
      </c>
      <c r="O89" s="9">
        <f>_xlfn.XLOOKUP($A89,Sheet4!$B:$B,Sheet4!J:J)</f>
        <v>22</v>
      </c>
      <c r="P89" s="8">
        <f>_xlfn.XLOOKUP($A89,Sheet5!$B:$B,Sheet5!H:H)</f>
        <v>100</v>
      </c>
      <c r="Q89" s="8">
        <f>_xlfn.XLOOKUP($A89,Sheet5!$B:$B,Sheet5!I:I)</f>
        <v>32</v>
      </c>
      <c r="R89" s="8">
        <f>_xlfn.XLOOKUP($A89,Sheet5!$B:$B,Sheet5!J:J)</f>
        <v>20</v>
      </c>
      <c r="S89" s="8">
        <f>_xlfn.XLOOKUP($A89,Sheet6!$B:$B,Sheet6!H:H)</f>
        <v>100</v>
      </c>
      <c r="T89" s="8">
        <f>_xlfn.XLOOKUP($A89,Sheet6!$B:$B,Sheet6!I:I)</f>
        <v>44</v>
      </c>
      <c r="U89" s="9">
        <f>_xlfn.XLOOKUP($A89,Sheet6!$B:$B,Sheet6!J:J)</f>
        <v>24</v>
      </c>
      <c r="V89" s="8">
        <f>_xlfn.XLOOKUP($A89,Sheet7!$B:$B,Sheet7!H:H)</f>
        <v>100</v>
      </c>
      <c r="W89" s="8">
        <f>_xlfn.XLOOKUP($A89,Sheet7!$B:$B,Sheet7!I:I)</f>
        <v>100</v>
      </c>
      <c r="X89" s="8">
        <f>_xlfn.XLOOKUP($A89,Sheet7!$B:$B,Sheet7!J:J)</f>
        <v>14</v>
      </c>
      <c r="Y89" s="8">
        <f>_xlfn.XLOOKUP($A89,Sheet8!$B:$B,Sheet8!H:H)</f>
        <v>100</v>
      </c>
      <c r="Z89" s="8">
        <f>_xlfn.XLOOKUP($A89,Sheet8!$B:$B,Sheet8!I:I)</f>
        <v>0</v>
      </c>
      <c r="AA89" s="9">
        <f>_xlfn.XLOOKUP($A89,Sheet8!$B:$B,Sheet8!J:J)</f>
        <v>25</v>
      </c>
      <c r="AB89" s="6">
        <f>_xlfn.XLOOKUP($A89,Sheet1!$B:$B,Sheet1!G:G,0)+_xlfn.XLOOKUP($A89,Sheet2!$B:$B,Sheet2!G:G,0)</f>
        <v>184</v>
      </c>
      <c r="AC89" s="6">
        <f>_xlfn.XLOOKUP($A89,Sheet3!$B:$B,Sheet3!G:G,0)+_xlfn.XLOOKUP($A89,Sheet4!$B:$B,Sheet4!G:G,0)</f>
        <v>198</v>
      </c>
      <c r="AD89" s="6">
        <f>_xlfn.XLOOKUP($A89,Sheet5!$B:$B,Sheet5!G:G,0)+_xlfn.XLOOKUP($A89,Sheet6!$B:$B,Sheet6!G:G,0)</f>
        <v>320</v>
      </c>
      <c r="AE89" s="6">
        <f>_xlfn.XLOOKUP($A89,Sheet7!$B:$B,Sheet7!G:G,0)+_xlfn.XLOOKUP($A89,Sheet8!$B:$B,Sheet8!G:G,0)</f>
        <v>339</v>
      </c>
      <c r="AF89" s="6" cm="1">
        <f t="array" ref="AF89">SUM(IFERROR(AB89:AE89,0))</f>
        <v>1041</v>
      </c>
      <c r="AG89" s="6">
        <f t="shared" si="1"/>
        <v>86</v>
      </c>
    </row>
    <row r="90" spans="1:33" ht="15.6" x14ac:dyDescent="0.3">
      <c r="A90" s="6" t="s">
        <v>120</v>
      </c>
      <c r="B90" s="6" t="str">
        <f>_xlfn.XLOOKUP($A90,Sheet3!$B:$B,Sheet3!D:D)</f>
        <v>福州第三中学</v>
      </c>
      <c r="C90" s="7" t="str">
        <f>_xlfn.XLOOKUP($A90,Sheet3!$B:$B,Sheet3!E:E)</f>
        <v>郑锦翼</v>
      </c>
      <c r="D90" s="6">
        <f>_xlfn.XLOOKUP($A90,Sheet1!$B:$B,Sheet1!H:H)</f>
        <v>100</v>
      </c>
      <c r="E90" s="6">
        <f>_xlfn.XLOOKUP($A90,Sheet1!$B:$B,Sheet1!I:I)</f>
        <v>42</v>
      </c>
      <c r="F90" s="6">
        <f>_xlfn.XLOOKUP($A90,Sheet1!$B:$B,Sheet1!J:J)</f>
        <v>7</v>
      </c>
      <c r="G90" s="6">
        <f>_xlfn.XLOOKUP($A90,Sheet2!$B:$B,Sheet2!H:H)</f>
        <v>100</v>
      </c>
      <c r="H90" s="6">
        <f>_xlfn.XLOOKUP($A90,Sheet2!$B:$B,Sheet2!I:I)</f>
        <v>0</v>
      </c>
      <c r="I90" s="7">
        <f>_xlfn.XLOOKUP($A90,Sheet2!$B:$B,Sheet2!J:J)</f>
        <v>25</v>
      </c>
      <c r="J90" s="8">
        <f>_xlfn.XLOOKUP($A90,Sheet3!$B:$B,Sheet3!H:H)</f>
        <v>100</v>
      </c>
      <c r="K90" s="8">
        <f>_xlfn.XLOOKUP($A90,Sheet3!$B:$B,Sheet3!I:I)</f>
        <v>60</v>
      </c>
      <c r="L90" s="8">
        <f>_xlfn.XLOOKUP($A90,Sheet3!$B:$B,Sheet3!J:J)</f>
        <v>40</v>
      </c>
      <c r="M90" s="8">
        <f>_xlfn.XLOOKUP($A90,Sheet4!$B:$B,Sheet4!H:H)</f>
        <v>100</v>
      </c>
      <c r="N90" s="8">
        <f>_xlfn.XLOOKUP($A90,Sheet4!$B:$B,Sheet4!I:I)</f>
        <v>11</v>
      </c>
      <c r="O90" s="9">
        <f>_xlfn.XLOOKUP($A90,Sheet4!$B:$B,Sheet4!J:J)</f>
        <v>0</v>
      </c>
      <c r="P90" s="8">
        <f>_xlfn.XLOOKUP($A90,Sheet5!$B:$B,Sheet5!H:H)</f>
        <v>100</v>
      </c>
      <c r="Q90" s="8">
        <f>_xlfn.XLOOKUP($A90,Sheet5!$B:$B,Sheet5!I:I)</f>
        <v>48</v>
      </c>
      <c r="R90" s="8">
        <f>_xlfn.XLOOKUP($A90,Sheet5!$B:$B,Sheet5!J:J)</f>
        <v>15</v>
      </c>
      <c r="S90" s="8">
        <f>_xlfn.XLOOKUP($A90,Sheet6!$B:$B,Sheet6!H:H)</f>
        <v>100</v>
      </c>
      <c r="T90" s="8">
        <f>_xlfn.XLOOKUP($A90,Sheet6!$B:$B,Sheet6!I:I)</f>
        <v>36</v>
      </c>
      <c r="U90" s="9">
        <f>_xlfn.XLOOKUP($A90,Sheet6!$B:$B,Sheet6!J:J)</f>
        <v>0</v>
      </c>
      <c r="V90" s="8">
        <f>_xlfn.XLOOKUP($A90,Sheet7!$B:$B,Sheet7!H:H)</f>
        <v>30</v>
      </c>
      <c r="W90" s="8">
        <f>_xlfn.XLOOKUP($A90,Sheet7!$B:$B,Sheet7!I:I)</f>
        <v>100</v>
      </c>
      <c r="X90" s="8">
        <f>_xlfn.XLOOKUP($A90,Sheet7!$B:$B,Sheet7!J:J)</f>
        <v>0</v>
      </c>
      <c r="Y90" s="8">
        <f>_xlfn.XLOOKUP($A90,Sheet8!$B:$B,Sheet8!H:H)</f>
        <v>0</v>
      </c>
      <c r="Z90" s="8">
        <f>_xlfn.XLOOKUP($A90,Sheet8!$B:$B,Sheet8!I:I)</f>
        <v>0</v>
      </c>
      <c r="AA90" s="9">
        <f>_xlfn.XLOOKUP($A90,Sheet8!$B:$B,Sheet8!J:J)</f>
        <v>25</v>
      </c>
      <c r="AB90" s="6">
        <f>_xlfn.XLOOKUP($A90,Sheet1!$B:$B,Sheet1!G:G,0)+_xlfn.XLOOKUP($A90,Sheet2!$B:$B,Sheet2!G:G,0)</f>
        <v>274</v>
      </c>
      <c r="AC90" s="6">
        <f>_xlfn.XLOOKUP($A90,Sheet3!$B:$B,Sheet3!G:G,0)+_xlfn.XLOOKUP($A90,Sheet4!$B:$B,Sheet4!G:G,0)</f>
        <v>311</v>
      </c>
      <c r="AD90" s="6">
        <f>_xlfn.XLOOKUP($A90,Sheet5!$B:$B,Sheet5!G:G,0)+_xlfn.XLOOKUP($A90,Sheet6!$B:$B,Sheet6!G:G,0)</f>
        <v>299</v>
      </c>
      <c r="AE90" s="6">
        <f>_xlfn.XLOOKUP($A90,Sheet7!$B:$B,Sheet7!G:G,0)+_xlfn.XLOOKUP($A90,Sheet8!$B:$B,Sheet8!G:G,0)</f>
        <v>155</v>
      </c>
      <c r="AF90" s="6" cm="1">
        <f t="array" ref="AF90">SUM(IFERROR(AB90:AE90,0))</f>
        <v>1039</v>
      </c>
      <c r="AG90" s="6">
        <f t="shared" si="1"/>
        <v>87</v>
      </c>
    </row>
    <row r="91" spans="1:33" ht="15.6" x14ac:dyDescent="0.3">
      <c r="A91" s="6" t="s">
        <v>199</v>
      </c>
      <c r="B91" s="6" t="str">
        <f>_xlfn.XLOOKUP($A91,Sheet3!$B:$B,Sheet3!D:D)</f>
        <v>北京大学附属中学</v>
      </c>
      <c r="C91" s="7" t="str">
        <f>_xlfn.XLOOKUP($A91,Sheet3!$B:$B,Sheet3!E:E)</f>
        <v>王心卓</v>
      </c>
      <c r="D91" s="6">
        <f>_xlfn.XLOOKUP($A91,Sheet1!$B:$B,Sheet1!H:H)</f>
        <v>84</v>
      </c>
      <c r="E91" s="6">
        <f>_xlfn.XLOOKUP($A91,Sheet1!$B:$B,Sheet1!I:I)</f>
        <v>27</v>
      </c>
      <c r="F91" s="6">
        <f>_xlfn.XLOOKUP($A91,Sheet1!$B:$B,Sheet1!J:J)</f>
        <v>7</v>
      </c>
      <c r="G91" s="6">
        <f>_xlfn.XLOOKUP($A91,Sheet2!$B:$B,Sheet2!H:H)</f>
        <v>100</v>
      </c>
      <c r="H91" s="6">
        <f>_xlfn.XLOOKUP($A91,Sheet2!$B:$B,Sheet2!I:I)</f>
        <v>32</v>
      </c>
      <c r="I91" s="7">
        <f>_xlfn.XLOOKUP($A91,Sheet2!$B:$B,Sheet2!J:J)</f>
        <v>31</v>
      </c>
      <c r="J91" s="8">
        <f>_xlfn.XLOOKUP($A91,Sheet3!$B:$B,Sheet3!H:H)</f>
        <v>100</v>
      </c>
      <c r="K91" s="8">
        <f>_xlfn.XLOOKUP($A91,Sheet3!$B:$B,Sheet3!I:I)</f>
        <v>20</v>
      </c>
      <c r="L91" s="8">
        <f>_xlfn.XLOOKUP($A91,Sheet3!$B:$B,Sheet3!J:J)</f>
        <v>40</v>
      </c>
      <c r="M91" s="8">
        <f>_xlfn.XLOOKUP($A91,Sheet4!$B:$B,Sheet4!H:H)</f>
        <v>100</v>
      </c>
      <c r="N91" s="8">
        <f>_xlfn.XLOOKUP($A91,Sheet4!$B:$B,Sheet4!I:I)</f>
        <v>11</v>
      </c>
      <c r="O91" s="9">
        <f>_xlfn.XLOOKUP($A91,Sheet4!$B:$B,Sheet4!J:J)</f>
        <v>5</v>
      </c>
      <c r="P91" s="8">
        <f>_xlfn.XLOOKUP($A91,Sheet5!$B:$B,Sheet5!H:H)</f>
        <v>75</v>
      </c>
      <c r="Q91" s="8">
        <f>_xlfn.XLOOKUP($A91,Sheet5!$B:$B,Sheet5!I:I)</f>
        <v>12</v>
      </c>
      <c r="R91" s="8">
        <f>_xlfn.XLOOKUP($A91,Sheet5!$B:$B,Sheet5!J:J)</f>
        <v>10</v>
      </c>
      <c r="S91" s="8">
        <f>_xlfn.XLOOKUP($A91,Sheet6!$B:$B,Sheet6!H:H)</f>
        <v>100</v>
      </c>
      <c r="T91" s="8">
        <f>_xlfn.XLOOKUP($A91,Sheet6!$B:$B,Sheet6!I:I)</f>
        <v>36</v>
      </c>
      <c r="U91" s="9">
        <f>_xlfn.XLOOKUP($A91,Sheet6!$B:$B,Sheet6!J:J)</f>
        <v>72</v>
      </c>
      <c r="V91" s="8">
        <f>_xlfn.XLOOKUP($A91,Sheet7!$B:$B,Sheet7!H:H)</f>
        <v>55</v>
      </c>
      <c r="W91" s="8">
        <f>_xlfn.XLOOKUP($A91,Sheet7!$B:$B,Sheet7!I:I)</f>
        <v>10</v>
      </c>
      <c r="X91" s="8">
        <f>_xlfn.XLOOKUP($A91,Sheet7!$B:$B,Sheet7!J:J)</f>
        <v>0</v>
      </c>
      <c r="Y91" s="8">
        <f>_xlfn.XLOOKUP($A91,Sheet8!$B:$B,Sheet8!H:H)</f>
        <v>100</v>
      </c>
      <c r="Z91" s="8">
        <f>_xlfn.XLOOKUP($A91,Sheet8!$B:$B,Sheet8!I:I)</f>
        <v>0</v>
      </c>
      <c r="AA91" s="9">
        <f>_xlfn.XLOOKUP($A91,Sheet8!$B:$B,Sheet8!J:J)</f>
        <v>0</v>
      </c>
      <c r="AB91" s="6">
        <f>_xlfn.XLOOKUP($A91,Sheet1!$B:$B,Sheet1!G:G,0)+_xlfn.XLOOKUP($A91,Sheet2!$B:$B,Sheet2!G:G,0)</f>
        <v>281</v>
      </c>
      <c r="AC91" s="6">
        <f>_xlfn.XLOOKUP($A91,Sheet3!$B:$B,Sheet3!G:G,0)+_xlfn.XLOOKUP($A91,Sheet4!$B:$B,Sheet4!G:G,0)</f>
        <v>276</v>
      </c>
      <c r="AD91" s="6">
        <f>_xlfn.XLOOKUP($A91,Sheet5!$B:$B,Sheet5!G:G,0)+_xlfn.XLOOKUP($A91,Sheet6!$B:$B,Sheet6!G:G,0)</f>
        <v>305</v>
      </c>
      <c r="AE91" s="6">
        <f>_xlfn.XLOOKUP($A91,Sheet7!$B:$B,Sheet7!G:G,0)+_xlfn.XLOOKUP($A91,Sheet8!$B:$B,Sheet8!G:G,0)</f>
        <v>165</v>
      </c>
      <c r="AF91" s="6" cm="1">
        <f t="array" ref="AF91">SUM(IFERROR(AB91:AE91,0))</f>
        <v>1027</v>
      </c>
      <c r="AG91" s="6">
        <f t="shared" si="1"/>
        <v>88</v>
      </c>
    </row>
    <row r="92" spans="1:33" ht="15.6" x14ac:dyDescent="0.3">
      <c r="A92" s="6" t="s">
        <v>364</v>
      </c>
      <c r="B92" s="6" t="str">
        <f>_xlfn.XLOOKUP($A92,Sheet3!$B:$B,Sheet3!D:D)</f>
        <v>佛山市南海区石门中学</v>
      </c>
      <c r="C92" s="7" t="str">
        <f>_xlfn.XLOOKUP($A92,Sheet3!$B:$B,Sheet3!E:E)</f>
        <v>赵崧维</v>
      </c>
      <c r="D92" s="6">
        <f>_xlfn.XLOOKUP($A92,Sheet1!$B:$B,Sheet1!H:H)</f>
        <v>30</v>
      </c>
      <c r="E92" s="6">
        <f>_xlfn.XLOOKUP($A92,Sheet1!$B:$B,Sheet1!I:I)</f>
        <v>0</v>
      </c>
      <c r="F92" s="6">
        <f>_xlfn.XLOOKUP($A92,Sheet1!$B:$B,Sheet1!J:J)</f>
        <v>7</v>
      </c>
      <c r="G92" s="6">
        <f>_xlfn.XLOOKUP($A92,Sheet2!$B:$B,Sheet2!H:H)</f>
        <v>100</v>
      </c>
      <c r="H92" s="6">
        <f>_xlfn.XLOOKUP($A92,Sheet2!$B:$B,Sheet2!I:I)</f>
        <v>32</v>
      </c>
      <c r="I92" s="7">
        <f>_xlfn.XLOOKUP($A92,Sheet2!$B:$B,Sheet2!J:J)</f>
        <v>25</v>
      </c>
      <c r="J92" s="8">
        <f>_xlfn.XLOOKUP($A92,Sheet3!$B:$B,Sheet3!H:H)</f>
        <v>100</v>
      </c>
      <c r="K92" s="8">
        <f>_xlfn.XLOOKUP($A92,Sheet3!$B:$B,Sheet3!I:I)</f>
        <v>60</v>
      </c>
      <c r="L92" s="8">
        <f>_xlfn.XLOOKUP($A92,Sheet3!$B:$B,Sheet3!J:J)</f>
        <v>40</v>
      </c>
      <c r="M92" s="8">
        <f>_xlfn.XLOOKUP($A92,Sheet4!$B:$B,Sheet4!H:H)</f>
        <v>100</v>
      </c>
      <c r="N92" s="8">
        <f>_xlfn.XLOOKUP($A92,Sheet4!$B:$B,Sheet4!I:I)</f>
        <v>0</v>
      </c>
      <c r="O92" s="9">
        <f>_xlfn.XLOOKUP($A92,Sheet4!$B:$B,Sheet4!J:J)</f>
        <v>12</v>
      </c>
      <c r="P92" s="8">
        <f>_xlfn.XLOOKUP($A92,Sheet5!$B:$B,Sheet5!H:H)</f>
        <v>100</v>
      </c>
      <c r="Q92" s="8">
        <f>_xlfn.XLOOKUP($A92,Sheet5!$B:$B,Sheet5!I:I)</f>
        <v>0</v>
      </c>
      <c r="R92" s="8">
        <f>_xlfn.XLOOKUP($A92,Sheet5!$B:$B,Sheet5!J:J)</f>
        <v>30</v>
      </c>
      <c r="S92" s="8">
        <f>_xlfn.XLOOKUP($A92,Sheet6!$B:$B,Sheet6!H:H)</f>
        <v>100</v>
      </c>
      <c r="T92" s="8">
        <f>_xlfn.XLOOKUP($A92,Sheet6!$B:$B,Sheet6!I:I)</f>
        <v>52</v>
      </c>
      <c r="U92" s="9">
        <f>_xlfn.XLOOKUP($A92,Sheet6!$B:$B,Sheet6!J:J)</f>
        <v>24</v>
      </c>
      <c r="V92" s="8">
        <f>_xlfn.XLOOKUP($A92,Sheet7!$B:$B,Sheet7!H:H)</f>
        <v>100</v>
      </c>
      <c r="W92" s="8">
        <f>_xlfn.XLOOKUP($A92,Sheet7!$B:$B,Sheet7!I:I)</f>
        <v>10</v>
      </c>
      <c r="X92" s="8">
        <f>_xlfn.XLOOKUP($A92,Sheet7!$B:$B,Sheet7!J:J)</f>
        <v>0</v>
      </c>
      <c r="Y92" s="8">
        <f>_xlfn.XLOOKUP($A92,Sheet8!$B:$B,Sheet8!H:H)</f>
        <v>100</v>
      </c>
      <c r="Z92" s="8">
        <f>_xlfn.XLOOKUP($A92,Sheet8!$B:$B,Sheet8!I:I)</f>
        <v>0</v>
      </c>
      <c r="AA92" s="9">
        <f>_xlfn.XLOOKUP($A92,Sheet8!$B:$B,Sheet8!J:J)</f>
        <v>0</v>
      </c>
      <c r="AB92" s="6">
        <f>_xlfn.XLOOKUP($A92,Sheet1!$B:$B,Sheet1!G:G,0)+_xlfn.XLOOKUP($A92,Sheet2!$B:$B,Sheet2!G:G,0)</f>
        <v>194</v>
      </c>
      <c r="AC92" s="6">
        <f>_xlfn.XLOOKUP($A92,Sheet3!$B:$B,Sheet3!G:G,0)+_xlfn.XLOOKUP($A92,Sheet4!$B:$B,Sheet4!G:G,0)</f>
        <v>312</v>
      </c>
      <c r="AD92" s="6">
        <f>_xlfn.XLOOKUP($A92,Sheet5!$B:$B,Sheet5!G:G,0)+_xlfn.XLOOKUP($A92,Sheet6!$B:$B,Sheet6!G:G,0)</f>
        <v>306</v>
      </c>
      <c r="AE92" s="6">
        <f>_xlfn.XLOOKUP($A92,Sheet7!$B:$B,Sheet7!G:G,0)+_xlfn.XLOOKUP($A92,Sheet8!$B:$B,Sheet8!G:G,0)</f>
        <v>210</v>
      </c>
      <c r="AF92" s="6" cm="1">
        <f t="array" ref="AF92">SUM(IFERROR(AB92:AE92,0))</f>
        <v>1022</v>
      </c>
      <c r="AG92" s="6">
        <f t="shared" si="1"/>
        <v>89</v>
      </c>
    </row>
    <row r="93" spans="1:33" ht="15.6" x14ac:dyDescent="0.3">
      <c r="A93" s="6" t="s">
        <v>249</v>
      </c>
      <c r="B93" s="6" t="str">
        <f>_xlfn.XLOOKUP($A93,Sheet3!$B:$B,Sheet3!D:D)</f>
        <v>广东实验中学</v>
      </c>
      <c r="C93" s="7" t="str">
        <f>_xlfn.XLOOKUP($A93,Sheet3!$B:$B,Sheet3!E:E)</f>
        <v>宋承璋</v>
      </c>
      <c r="D93" s="6">
        <f>_xlfn.XLOOKUP($A93,Sheet1!$B:$B,Sheet1!H:H)</f>
        <v>100</v>
      </c>
      <c r="E93" s="6">
        <f>_xlfn.XLOOKUP($A93,Sheet1!$B:$B,Sheet1!I:I)</f>
        <v>0</v>
      </c>
      <c r="F93" s="6">
        <f>_xlfn.XLOOKUP($A93,Sheet1!$B:$B,Sheet1!J:J)</f>
        <v>0</v>
      </c>
      <c r="G93" s="6">
        <f>_xlfn.XLOOKUP($A93,Sheet2!$B:$B,Sheet2!H:H)</f>
        <v>100</v>
      </c>
      <c r="H93" s="6">
        <f>_xlfn.XLOOKUP($A93,Sheet2!$B:$B,Sheet2!I:I)</f>
        <v>0</v>
      </c>
      <c r="I93" s="7">
        <f>_xlfn.XLOOKUP($A93,Sheet2!$B:$B,Sheet2!J:J)</f>
        <v>20</v>
      </c>
      <c r="J93" s="8">
        <f>_xlfn.XLOOKUP($A93,Sheet3!$B:$B,Sheet3!H:H)</f>
        <v>100</v>
      </c>
      <c r="K93" s="8">
        <f>_xlfn.XLOOKUP($A93,Sheet3!$B:$B,Sheet3!I:I)</f>
        <v>60</v>
      </c>
      <c r="L93" s="8">
        <f>_xlfn.XLOOKUP($A93,Sheet3!$B:$B,Sheet3!J:J)</f>
        <v>0</v>
      </c>
      <c r="M93" s="8">
        <f>_xlfn.XLOOKUP($A93,Sheet4!$B:$B,Sheet4!H:H)</f>
        <v>100</v>
      </c>
      <c r="N93" s="8">
        <f>_xlfn.XLOOKUP($A93,Sheet4!$B:$B,Sheet4!I:I)</f>
        <v>0</v>
      </c>
      <c r="O93" s="9">
        <f>_xlfn.XLOOKUP($A93,Sheet4!$B:$B,Sheet4!J:J)</f>
        <v>5</v>
      </c>
      <c r="P93" s="8">
        <f>_xlfn.XLOOKUP($A93,Sheet5!$B:$B,Sheet5!H:H)</f>
        <v>100</v>
      </c>
      <c r="Q93" s="8">
        <f>_xlfn.XLOOKUP($A93,Sheet5!$B:$B,Sheet5!I:I)</f>
        <v>32</v>
      </c>
      <c r="R93" s="8">
        <f>_xlfn.XLOOKUP($A93,Sheet5!$B:$B,Sheet5!J:J)</f>
        <v>0</v>
      </c>
      <c r="S93" s="8">
        <f>_xlfn.XLOOKUP($A93,Sheet6!$B:$B,Sheet6!H:H)</f>
        <v>100</v>
      </c>
      <c r="T93" s="8">
        <f>_xlfn.XLOOKUP($A93,Sheet6!$B:$B,Sheet6!I:I)</f>
        <v>100</v>
      </c>
      <c r="U93" s="9">
        <f>_xlfn.XLOOKUP($A93,Sheet6!$B:$B,Sheet6!J:J)</f>
        <v>0</v>
      </c>
      <c r="V93" s="8">
        <f>_xlfn.XLOOKUP($A93,Sheet7!$B:$B,Sheet7!H:H)</f>
        <v>100</v>
      </c>
      <c r="W93" s="8">
        <f>_xlfn.XLOOKUP($A93,Sheet7!$B:$B,Sheet7!I:I)</f>
        <v>0</v>
      </c>
      <c r="X93" s="8">
        <f>_xlfn.XLOOKUP($A93,Sheet7!$B:$B,Sheet7!J:J)</f>
        <v>0</v>
      </c>
      <c r="Y93" s="8">
        <f>_xlfn.XLOOKUP($A93,Sheet8!$B:$B,Sheet8!H:H)</f>
        <v>100</v>
      </c>
      <c r="Z93" s="8">
        <f>_xlfn.XLOOKUP($A93,Sheet8!$B:$B,Sheet8!I:I)</f>
        <v>0</v>
      </c>
      <c r="AA93" s="9">
        <f>_xlfn.XLOOKUP($A93,Sheet8!$B:$B,Sheet8!J:J)</f>
        <v>0</v>
      </c>
      <c r="AB93" s="6">
        <f>_xlfn.XLOOKUP($A93,Sheet1!$B:$B,Sheet1!G:G,0)+_xlfn.XLOOKUP($A93,Sheet2!$B:$B,Sheet2!G:G,0)</f>
        <v>220</v>
      </c>
      <c r="AC93" s="6">
        <f>_xlfn.XLOOKUP($A93,Sheet3!$B:$B,Sheet3!G:G,0)+_xlfn.XLOOKUP($A93,Sheet4!$B:$B,Sheet4!G:G,0)</f>
        <v>265</v>
      </c>
      <c r="AD93" s="6">
        <f>_xlfn.XLOOKUP($A93,Sheet5!$B:$B,Sheet5!G:G,0)+_xlfn.XLOOKUP($A93,Sheet6!$B:$B,Sheet6!G:G,0)</f>
        <v>332</v>
      </c>
      <c r="AE93" s="6">
        <f>_xlfn.XLOOKUP($A93,Sheet7!$B:$B,Sheet7!G:G,0)+_xlfn.XLOOKUP($A93,Sheet8!$B:$B,Sheet8!G:G,0)</f>
        <v>200</v>
      </c>
      <c r="AF93" s="6" cm="1">
        <f t="array" ref="AF93">SUM(IFERROR(AB93:AE93,0))</f>
        <v>1017</v>
      </c>
      <c r="AG93" s="6">
        <f t="shared" si="1"/>
        <v>90</v>
      </c>
    </row>
    <row r="94" spans="1:33" ht="15.6" x14ac:dyDescent="0.3">
      <c r="A94" s="6" t="s">
        <v>214</v>
      </c>
      <c r="B94" s="6" t="str">
        <f>_xlfn.XLOOKUP($A94,Sheet3!$B:$B,Sheet3!D:D)</f>
        <v>中山市三鑫学校</v>
      </c>
      <c r="C94" s="7" t="str">
        <f>_xlfn.XLOOKUP($A94,Sheet3!$B:$B,Sheet3!E:E)</f>
        <v>徐浩轩</v>
      </c>
      <c r="D94" s="6">
        <f>_xlfn.XLOOKUP($A94,Sheet1!$B:$B,Sheet1!H:H)</f>
        <v>100</v>
      </c>
      <c r="E94" s="6">
        <f>_xlfn.XLOOKUP($A94,Sheet1!$B:$B,Sheet1!I:I)</f>
        <v>0</v>
      </c>
      <c r="F94" s="6">
        <f>_xlfn.XLOOKUP($A94,Sheet1!$B:$B,Sheet1!J:J)</f>
        <v>7</v>
      </c>
      <c r="G94" s="6">
        <f>_xlfn.XLOOKUP($A94,Sheet2!$B:$B,Sheet2!H:H)</f>
        <v>100</v>
      </c>
      <c r="H94" s="6">
        <f>_xlfn.XLOOKUP($A94,Sheet2!$B:$B,Sheet2!I:I)</f>
        <v>0</v>
      </c>
      <c r="I94" s="7">
        <f>_xlfn.XLOOKUP($A94,Sheet2!$B:$B,Sheet2!J:J)</f>
        <v>12</v>
      </c>
      <c r="J94" s="8">
        <f>_xlfn.XLOOKUP($A94,Sheet3!$B:$B,Sheet3!H:H)</f>
        <v>100</v>
      </c>
      <c r="K94" s="8">
        <f>_xlfn.XLOOKUP($A94,Sheet3!$B:$B,Sheet3!I:I)</f>
        <v>40</v>
      </c>
      <c r="L94" s="8">
        <f>_xlfn.XLOOKUP($A94,Sheet3!$B:$B,Sheet3!J:J)</f>
        <v>10</v>
      </c>
      <c r="M94" s="8">
        <f>_xlfn.XLOOKUP($A94,Sheet4!$B:$B,Sheet4!H:H)</f>
        <v>60</v>
      </c>
      <c r="N94" s="8">
        <f>_xlfn.XLOOKUP($A94,Sheet4!$B:$B,Sheet4!I:I)</f>
        <v>11</v>
      </c>
      <c r="O94" s="9">
        <f>_xlfn.XLOOKUP($A94,Sheet4!$B:$B,Sheet4!J:J)</f>
        <v>1</v>
      </c>
      <c r="P94" s="8">
        <f>_xlfn.XLOOKUP($A94,Sheet5!$B:$B,Sheet5!H:H)</f>
        <v>100</v>
      </c>
      <c r="Q94" s="8">
        <f>_xlfn.XLOOKUP($A94,Sheet5!$B:$B,Sheet5!I:I)</f>
        <v>12</v>
      </c>
      <c r="R94" s="8">
        <f>_xlfn.XLOOKUP($A94,Sheet5!$B:$B,Sheet5!J:J)</f>
        <v>10</v>
      </c>
      <c r="S94" s="8">
        <f>_xlfn.XLOOKUP($A94,Sheet6!$B:$B,Sheet6!H:H)</f>
        <v>100</v>
      </c>
      <c r="T94" s="8">
        <f>_xlfn.XLOOKUP($A94,Sheet6!$B:$B,Sheet6!I:I)</f>
        <v>100</v>
      </c>
      <c r="U94" s="9">
        <f>_xlfn.XLOOKUP($A94,Sheet6!$B:$B,Sheet6!J:J)</f>
        <v>24</v>
      </c>
      <c r="V94" s="8">
        <f>_xlfn.XLOOKUP($A94,Sheet7!$B:$B,Sheet7!H:H)</f>
        <v>100</v>
      </c>
      <c r="W94" s="8">
        <f>_xlfn.XLOOKUP($A94,Sheet7!$B:$B,Sheet7!I:I)</f>
        <v>20</v>
      </c>
      <c r="X94" s="8">
        <f>_xlfn.XLOOKUP($A94,Sheet7!$B:$B,Sheet7!J:J)</f>
        <v>0</v>
      </c>
      <c r="Y94" s="8">
        <f>_xlfn.XLOOKUP($A94,Sheet8!$B:$B,Sheet8!H:H)</f>
        <v>100</v>
      </c>
      <c r="Z94" s="8">
        <f>_xlfn.XLOOKUP($A94,Sheet8!$B:$B,Sheet8!I:I)</f>
        <v>0</v>
      </c>
      <c r="AA94" s="9">
        <f>_xlfn.XLOOKUP($A94,Sheet8!$B:$B,Sheet8!J:J)</f>
        <v>0</v>
      </c>
      <c r="AB94" s="6">
        <f>_xlfn.XLOOKUP($A94,Sheet1!$B:$B,Sheet1!G:G,0)+_xlfn.XLOOKUP($A94,Sheet2!$B:$B,Sheet2!G:G,0)</f>
        <v>219</v>
      </c>
      <c r="AC94" s="6">
        <f>_xlfn.XLOOKUP($A94,Sheet3!$B:$B,Sheet3!G:G,0)+_xlfn.XLOOKUP($A94,Sheet4!$B:$B,Sheet4!G:G,0)</f>
        <v>222</v>
      </c>
      <c r="AD94" s="6">
        <f>_xlfn.XLOOKUP($A94,Sheet5!$B:$B,Sheet5!G:G,0)+_xlfn.XLOOKUP($A94,Sheet6!$B:$B,Sheet6!G:G,0)</f>
        <v>346</v>
      </c>
      <c r="AE94" s="6">
        <f>_xlfn.XLOOKUP($A94,Sheet7!$B:$B,Sheet7!G:G,0)+_xlfn.XLOOKUP($A94,Sheet8!$B:$B,Sheet8!G:G,0)</f>
        <v>220</v>
      </c>
      <c r="AF94" s="6" cm="1">
        <f t="array" ref="AF94">SUM(IFERROR(AB94:AE94,0))</f>
        <v>1007</v>
      </c>
      <c r="AG94" s="6">
        <f t="shared" si="1"/>
        <v>91</v>
      </c>
    </row>
    <row r="95" spans="1:33" ht="15.6" x14ac:dyDescent="0.3">
      <c r="A95" s="6" t="s">
        <v>466</v>
      </c>
      <c r="B95" s="6" t="str">
        <f>_xlfn.XLOOKUP($A95,Sheet3!$B:$B,Sheet3!D:D)</f>
        <v>长郡中学</v>
      </c>
      <c r="C95" s="7" t="str">
        <f>_xlfn.XLOOKUP($A95,Sheet3!$B:$B,Sheet3!E:E)</f>
        <v>易牧华</v>
      </c>
      <c r="D95" s="6">
        <f>_xlfn.XLOOKUP($A95,Sheet1!$B:$B,Sheet1!H:H)</f>
        <v>21</v>
      </c>
      <c r="E95" s="6">
        <f>_xlfn.XLOOKUP($A95,Sheet1!$B:$B,Sheet1!I:I)</f>
        <v>0</v>
      </c>
      <c r="F95" s="6">
        <f>_xlfn.XLOOKUP($A95,Sheet1!$B:$B,Sheet1!J:J)</f>
        <v>0</v>
      </c>
      <c r="G95" s="6">
        <f>_xlfn.XLOOKUP($A95,Sheet2!$B:$B,Sheet2!H:H)</f>
        <v>100</v>
      </c>
      <c r="H95" s="6">
        <f>_xlfn.XLOOKUP($A95,Sheet2!$B:$B,Sheet2!I:I)</f>
        <v>0</v>
      </c>
      <c r="I95" s="7">
        <f>_xlfn.XLOOKUP($A95,Sheet2!$B:$B,Sheet2!J:J)</f>
        <v>12</v>
      </c>
      <c r="J95" s="8">
        <f>_xlfn.XLOOKUP($A95,Sheet3!$B:$B,Sheet3!H:H)</f>
        <v>100</v>
      </c>
      <c r="K95" s="8">
        <f>_xlfn.XLOOKUP($A95,Sheet3!$B:$B,Sheet3!I:I)</f>
        <v>100</v>
      </c>
      <c r="L95" s="8">
        <f>_xlfn.XLOOKUP($A95,Sheet3!$B:$B,Sheet3!J:J)</f>
        <v>40</v>
      </c>
      <c r="M95" s="8">
        <f>_xlfn.XLOOKUP($A95,Sheet4!$B:$B,Sheet4!H:H)</f>
        <v>100</v>
      </c>
      <c r="N95" s="8">
        <f>_xlfn.XLOOKUP($A95,Sheet4!$B:$B,Sheet4!I:I)</f>
        <v>0</v>
      </c>
      <c r="O95" s="9">
        <f>_xlfn.XLOOKUP($A95,Sheet4!$B:$B,Sheet4!J:J)</f>
        <v>5</v>
      </c>
      <c r="P95" s="8">
        <f>_xlfn.XLOOKUP($A95,Sheet5!$B:$B,Sheet5!H:H)</f>
        <v>100</v>
      </c>
      <c r="Q95" s="8">
        <f>_xlfn.XLOOKUP($A95,Sheet5!$B:$B,Sheet5!I:I)</f>
        <v>100</v>
      </c>
      <c r="R95" s="8">
        <f>_xlfn.XLOOKUP($A95,Sheet5!$B:$B,Sheet5!J:J)</f>
        <v>0</v>
      </c>
      <c r="S95" s="8">
        <f>_xlfn.XLOOKUP($A95,Sheet6!$B:$B,Sheet6!H:H)</f>
        <v>100</v>
      </c>
      <c r="T95" s="8">
        <f>_xlfn.XLOOKUP($A95,Sheet6!$B:$B,Sheet6!I:I)</f>
        <v>36</v>
      </c>
      <c r="U95" s="9">
        <f>_xlfn.XLOOKUP($A95,Sheet6!$B:$B,Sheet6!J:J)</f>
        <v>16</v>
      </c>
      <c r="V95" s="8">
        <f>_xlfn.XLOOKUP($A95,Sheet7!$B:$B,Sheet7!H:H)</f>
        <v>25</v>
      </c>
      <c r="W95" s="8">
        <f>_xlfn.XLOOKUP($A95,Sheet7!$B:$B,Sheet7!I:I)</f>
        <v>0</v>
      </c>
      <c r="X95" s="8">
        <f>_xlfn.XLOOKUP($A95,Sheet7!$B:$B,Sheet7!J:J)</f>
        <v>40</v>
      </c>
      <c r="Y95" s="8">
        <f>_xlfn.XLOOKUP($A95,Sheet8!$B:$B,Sheet8!H:H)</f>
        <v>100</v>
      </c>
      <c r="Z95" s="8">
        <f>_xlfn.XLOOKUP($A95,Sheet8!$B:$B,Sheet8!I:I)</f>
        <v>0</v>
      </c>
      <c r="AA95" s="9">
        <f>_xlfn.XLOOKUP($A95,Sheet8!$B:$B,Sheet8!J:J)</f>
        <v>0</v>
      </c>
      <c r="AB95" s="6">
        <f>_xlfn.XLOOKUP($A95,Sheet1!$B:$B,Sheet1!G:G,0)+_xlfn.XLOOKUP($A95,Sheet2!$B:$B,Sheet2!G:G,0)</f>
        <v>133</v>
      </c>
      <c r="AC95" s="6">
        <f>_xlfn.XLOOKUP($A95,Sheet3!$B:$B,Sheet3!G:G,0)+_xlfn.XLOOKUP($A95,Sheet4!$B:$B,Sheet4!G:G,0)</f>
        <v>345</v>
      </c>
      <c r="AD95" s="6">
        <f>_xlfn.XLOOKUP($A95,Sheet5!$B:$B,Sheet5!G:G,0)+_xlfn.XLOOKUP($A95,Sheet6!$B:$B,Sheet6!G:G,0)</f>
        <v>352</v>
      </c>
      <c r="AE95" s="6">
        <f>_xlfn.XLOOKUP($A95,Sheet7!$B:$B,Sheet7!G:G,0)+_xlfn.XLOOKUP($A95,Sheet8!$B:$B,Sheet8!G:G,0)</f>
        <v>165</v>
      </c>
      <c r="AF95" s="6" cm="1">
        <f t="array" ref="AF95">SUM(IFERROR(AB95:AE95,0))</f>
        <v>995</v>
      </c>
      <c r="AG95" s="6">
        <f t="shared" si="1"/>
        <v>92</v>
      </c>
    </row>
    <row r="96" spans="1:33" ht="15.6" x14ac:dyDescent="0.3">
      <c r="A96" s="6" t="s">
        <v>299</v>
      </c>
      <c r="B96" s="6" t="str">
        <f>_xlfn.XLOOKUP($A96,Sheet3!$B:$B,Sheet3!D:D)</f>
        <v>深圳市耀华实验学校</v>
      </c>
      <c r="C96" s="7" t="str">
        <f>_xlfn.XLOOKUP($A96,Sheet3!$B:$B,Sheet3!E:E)</f>
        <v>刘航聿</v>
      </c>
      <c r="D96" s="6">
        <f>_xlfn.XLOOKUP($A96,Sheet1!$B:$B,Sheet1!H:H)</f>
        <v>24</v>
      </c>
      <c r="E96" s="6">
        <f>_xlfn.XLOOKUP($A96,Sheet1!$B:$B,Sheet1!I:I)</f>
        <v>27</v>
      </c>
      <c r="F96" s="6">
        <f>_xlfn.XLOOKUP($A96,Sheet1!$B:$B,Sheet1!J:J)</f>
        <v>0</v>
      </c>
      <c r="G96" s="6">
        <f>_xlfn.XLOOKUP($A96,Sheet2!$B:$B,Sheet2!H:H)</f>
        <v>100</v>
      </c>
      <c r="H96" s="6">
        <f>_xlfn.XLOOKUP($A96,Sheet2!$B:$B,Sheet2!I:I)</f>
        <v>32</v>
      </c>
      <c r="I96" s="7">
        <f>_xlfn.XLOOKUP($A96,Sheet2!$B:$B,Sheet2!J:J)</f>
        <v>25</v>
      </c>
      <c r="J96" s="8">
        <f>_xlfn.XLOOKUP($A96,Sheet3!$B:$B,Sheet3!H:H)</f>
        <v>100</v>
      </c>
      <c r="K96" s="8">
        <f>_xlfn.XLOOKUP($A96,Sheet3!$B:$B,Sheet3!I:I)</f>
        <v>40</v>
      </c>
      <c r="L96" s="8">
        <f>_xlfn.XLOOKUP($A96,Sheet3!$B:$B,Sheet3!J:J)</f>
        <v>10</v>
      </c>
      <c r="M96" s="8">
        <f>_xlfn.XLOOKUP($A96,Sheet4!$B:$B,Sheet4!H:H)</f>
        <v>60</v>
      </c>
      <c r="N96" s="8">
        <f>_xlfn.XLOOKUP($A96,Sheet4!$B:$B,Sheet4!I:I)</f>
        <v>0</v>
      </c>
      <c r="O96" s="9">
        <f>_xlfn.XLOOKUP($A96,Sheet4!$B:$B,Sheet4!J:J)</f>
        <v>22</v>
      </c>
      <c r="P96" s="8">
        <f>_xlfn.XLOOKUP($A96,Sheet5!$B:$B,Sheet5!H:H)</f>
        <v>100</v>
      </c>
      <c r="Q96" s="8">
        <f>_xlfn.XLOOKUP($A96,Sheet5!$B:$B,Sheet5!I:I)</f>
        <v>32</v>
      </c>
      <c r="R96" s="8">
        <f>_xlfn.XLOOKUP($A96,Sheet5!$B:$B,Sheet5!J:J)</f>
        <v>0</v>
      </c>
      <c r="S96" s="8">
        <f>_xlfn.XLOOKUP($A96,Sheet6!$B:$B,Sheet6!H:H)</f>
        <v>100</v>
      </c>
      <c r="T96" s="8">
        <f>_xlfn.XLOOKUP($A96,Sheet6!$B:$B,Sheet6!I:I)</f>
        <v>60</v>
      </c>
      <c r="U96" s="9">
        <f>_xlfn.XLOOKUP($A96,Sheet6!$B:$B,Sheet6!J:J)</f>
        <v>24</v>
      </c>
      <c r="V96" s="8">
        <f>_xlfn.XLOOKUP($A96,Sheet7!$B:$B,Sheet7!H:H)</f>
        <v>100</v>
      </c>
      <c r="W96" s="8">
        <f>_xlfn.XLOOKUP($A96,Sheet7!$B:$B,Sheet7!I:I)</f>
        <v>10</v>
      </c>
      <c r="X96" s="8">
        <f>_xlfn.XLOOKUP($A96,Sheet7!$B:$B,Sheet7!J:J)</f>
        <v>0</v>
      </c>
      <c r="Y96" s="8">
        <f>_xlfn.XLOOKUP($A96,Sheet8!$B:$B,Sheet8!H:H)</f>
        <v>100</v>
      </c>
      <c r="Z96" s="8">
        <f>_xlfn.XLOOKUP($A96,Sheet8!$B:$B,Sheet8!I:I)</f>
        <v>0</v>
      </c>
      <c r="AA96" s="9">
        <f>_xlfn.XLOOKUP($A96,Sheet8!$B:$B,Sheet8!J:J)</f>
        <v>20</v>
      </c>
      <c r="AB96" s="6">
        <f>_xlfn.XLOOKUP($A96,Sheet1!$B:$B,Sheet1!G:G,0)+_xlfn.XLOOKUP($A96,Sheet2!$B:$B,Sheet2!G:G,0)</f>
        <v>208</v>
      </c>
      <c r="AC96" s="6">
        <f>_xlfn.XLOOKUP($A96,Sheet3!$B:$B,Sheet3!G:G,0)+_xlfn.XLOOKUP($A96,Sheet4!$B:$B,Sheet4!G:G,0)</f>
        <v>232</v>
      </c>
      <c r="AD96" s="6">
        <f>_xlfn.XLOOKUP($A96,Sheet5!$B:$B,Sheet5!G:G,0)+_xlfn.XLOOKUP($A96,Sheet6!$B:$B,Sheet6!G:G,0)</f>
        <v>316</v>
      </c>
      <c r="AE96" s="6">
        <f>_xlfn.XLOOKUP($A96,Sheet7!$B:$B,Sheet7!G:G,0)+_xlfn.XLOOKUP($A96,Sheet8!$B:$B,Sheet8!G:G,0)</f>
        <v>230</v>
      </c>
      <c r="AF96" s="6" cm="1">
        <f t="array" ref="AF96">SUM(IFERROR(AB96:AE96,0))</f>
        <v>986</v>
      </c>
      <c r="AG96" s="6">
        <f t="shared" si="1"/>
        <v>93</v>
      </c>
    </row>
    <row r="97" spans="1:33" ht="15.6" x14ac:dyDescent="0.3">
      <c r="A97" s="6" t="s">
        <v>237</v>
      </c>
      <c r="B97" s="6" t="str">
        <f>_xlfn.XLOOKUP($A97,Sheet3!$B:$B,Sheet3!D:D)</f>
        <v>中山市三鑫学校</v>
      </c>
      <c r="C97" s="7" t="str">
        <f>_xlfn.XLOOKUP($A97,Sheet3!$B:$B,Sheet3!E:E)</f>
        <v>严启晋</v>
      </c>
      <c r="D97" s="6">
        <f>_xlfn.XLOOKUP($A97,Sheet1!$B:$B,Sheet1!H:H)</f>
        <v>100</v>
      </c>
      <c r="E97" s="6">
        <f>_xlfn.XLOOKUP($A97,Sheet1!$B:$B,Sheet1!I:I)</f>
        <v>0</v>
      </c>
      <c r="F97" s="6">
        <f>_xlfn.XLOOKUP($A97,Sheet1!$B:$B,Sheet1!J:J)</f>
        <v>0</v>
      </c>
      <c r="G97" s="6">
        <f>_xlfn.XLOOKUP($A97,Sheet2!$B:$B,Sheet2!H:H)</f>
        <v>100</v>
      </c>
      <c r="H97" s="6">
        <f>_xlfn.XLOOKUP($A97,Sheet2!$B:$B,Sheet2!I:I)</f>
        <v>32</v>
      </c>
      <c r="I97" s="7">
        <f>_xlfn.XLOOKUP($A97,Sheet2!$B:$B,Sheet2!J:J)</f>
        <v>12</v>
      </c>
      <c r="J97" s="8">
        <f>_xlfn.XLOOKUP($A97,Sheet3!$B:$B,Sheet3!H:H)</f>
        <v>100</v>
      </c>
      <c r="K97" s="8">
        <f>_xlfn.XLOOKUP($A97,Sheet3!$B:$B,Sheet3!I:I)</f>
        <v>20</v>
      </c>
      <c r="L97" s="8">
        <f>_xlfn.XLOOKUP($A97,Sheet3!$B:$B,Sheet3!J:J)</f>
        <v>0</v>
      </c>
      <c r="M97" s="8">
        <f>_xlfn.XLOOKUP($A97,Sheet4!$B:$B,Sheet4!H:H)</f>
        <v>100</v>
      </c>
      <c r="N97" s="8">
        <f>_xlfn.XLOOKUP($A97,Sheet4!$B:$B,Sheet4!I:I)</f>
        <v>0</v>
      </c>
      <c r="O97" s="9">
        <f>_xlfn.XLOOKUP($A97,Sheet4!$B:$B,Sheet4!J:J)</f>
        <v>1</v>
      </c>
      <c r="P97" s="8">
        <f>_xlfn.XLOOKUP($A97,Sheet5!$B:$B,Sheet5!H:H)</f>
        <v>100</v>
      </c>
      <c r="Q97" s="8">
        <f>_xlfn.XLOOKUP($A97,Sheet5!$B:$B,Sheet5!I:I)</f>
        <v>12</v>
      </c>
      <c r="R97" s="8">
        <f>_xlfn.XLOOKUP($A97,Sheet5!$B:$B,Sheet5!J:J)</f>
        <v>0</v>
      </c>
      <c r="S97" s="8">
        <f>_xlfn.XLOOKUP($A97,Sheet6!$B:$B,Sheet6!H:H)</f>
        <v>100</v>
      </c>
      <c r="T97" s="8">
        <f>_xlfn.XLOOKUP($A97,Sheet6!$B:$B,Sheet6!I:I)</f>
        <v>100</v>
      </c>
      <c r="U97" s="9">
        <f>_xlfn.XLOOKUP($A97,Sheet6!$B:$B,Sheet6!J:J)</f>
        <v>0</v>
      </c>
      <c r="V97" s="8">
        <f>_xlfn.XLOOKUP($A97,Sheet7!$B:$B,Sheet7!H:H)</f>
        <v>100</v>
      </c>
      <c r="W97" s="8">
        <f>_xlfn.XLOOKUP($A97,Sheet7!$B:$B,Sheet7!I:I)</f>
        <v>0</v>
      </c>
      <c r="X97" s="8">
        <f>_xlfn.XLOOKUP($A97,Sheet7!$B:$B,Sheet7!J:J)</f>
        <v>0</v>
      </c>
      <c r="Y97" s="8">
        <f>_xlfn.XLOOKUP($A97,Sheet8!$B:$B,Sheet8!H:H)</f>
        <v>100</v>
      </c>
      <c r="Z97" s="8">
        <f>_xlfn.XLOOKUP($A97,Sheet8!$B:$B,Sheet8!I:I)</f>
        <v>0</v>
      </c>
      <c r="AA97" s="9">
        <f>_xlfn.XLOOKUP($A97,Sheet8!$B:$B,Sheet8!J:J)</f>
        <v>0</v>
      </c>
      <c r="AB97" s="6">
        <f>_xlfn.XLOOKUP($A97,Sheet1!$B:$B,Sheet1!G:G,0)+_xlfn.XLOOKUP($A97,Sheet2!$B:$B,Sheet2!G:G,0)</f>
        <v>244</v>
      </c>
      <c r="AC97" s="6">
        <f>_xlfn.XLOOKUP($A97,Sheet3!$B:$B,Sheet3!G:G,0)+_xlfn.XLOOKUP($A97,Sheet4!$B:$B,Sheet4!G:G,0)</f>
        <v>221</v>
      </c>
      <c r="AD97" s="6">
        <f>_xlfn.XLOOKUP($A97,Sheet5!$B:$B,Sheet5!G:G,0)+_xlfn.XLOOKUP($A97,Sheet6!$B:$B,Sheet6!G:G,0)</f>
        <v>312</v>
      </c>
      <c r="AE97" s="6">
        <f>_xlfn.XLOOKUP($A97,Sheet7!$B:$B,Sheet7!G:G,0)+_xlfn.XLOOKUP($A97,Sheet8!$B:$B,Sheet8!G:G,0)</f>
        <v>200</v>
      </c>
      <c r="AF97" s="6" cm="1">
        <f t="array" ref="AF97">SUM(IFERROR(AB97:AE97,0))</f>
        <v>977</v>
      </c>
      <c r="AG97" s="6">
        <f t="shared" si="1"/>
        <v>94</v>
      </c>
    </row>
    <row r="98" spans="1:33" ht="15.6" x14ac:dyDescent="0.3">
      <c r="A98" s="6" t="s">
        <v>507</v>
      </c>
      <c r="B98" s="6" t="str">
        <f>_xlfn.XLOOKUP($A98,Sheet3!$B:$B,Sheet3!D:D)</f>
        <v>华南师范大学附属中学</v>
      </c>
      <c r="C98" s="7" t="str">
        <f>_xlfn.XLOOKUP($A98,Sheet3!$B:$B,Sheet3!E:E)</f>
        <v>杨惠然</v>
      </c>
      <c r="D98" s="6">
        <f>_xlfn.XLOOKUP($A98,Sheet1!$B:$B,Sheet1!H:H)</f>
        <v>0</v>
      </c>
      <c r="E98" s="6">
        <f>_xlfn.XLOOKUP($A98,Sheet1!$B:$B,Sheet1!I:I)</f>
        <v>0</v>
      </c>
      <c r="F98" s="6">
        <f>_xlfn.XLOOKUP($A98,Sheet1!$B:$B,Sheet1!J:J)</f>
        <v>0</v>
      </c>
      <c r="G98" s="6">
        <f>_xlfn.XLOOKUP($A98,Sheet2!$B:$B,Sheet2!H:H)</f>
        <v>100</v>
      </c>
      <c r="H98" s="6">
        <f>_xlfn.XLOOKUP($A98,Sheet2!$B:$B,Sheet2!I:I)</f>
        <v>44</v>
      </c>
      <c r="I98" s="7">
        <f>_xlfn.XLOOKUP($A98,Sheet2!$B:$B,Sheet2!J:J)</f>
        <v>12</v>
      </c>
      <c r="J98" s="8">
        <f>_xlfn.XLOOKUP($A98,Sheet3!$B:$B,Sheet3!H:H)</f>
        <v>82</v>
      </c>
      <c r="K98" s="8">
        <f>_xlfn.XLOOKUP($A98,Sheet3!$B:$B,Sheet3!I:I)</f>
        <v>40</v>
      </c>
      <c r="L98" s="8">
        <f>_xlfn.XLOOKUP($A98,Sheet3!$B:$B,Sheet3!J:J)</f>
        <v>40</v>
      </c>
      <c r="M98" s="8">
        <f>_xlfn.XLOOKUP($A98,Sheet4!$B:$B,Sheet4!H:H)</f>
        <v>100</v>
      </c>
      <c r="N98" s="8">
        <f>_xlfn.XLOOKUP($A98,Sheet4!$B:$B,Sheet4!I:I)</f>
        <v>0</v>
      </c>
      <c r="O98" s="9">
        <f>_xlfn.XLOOKUP($A98,Sheet4!$B:$B,Sheet4!J:J)</f>
        <v>22</v>
      </c>
      <c r="P98" s="8">
        <f>_xlfn.XLOOKUP($A98,Sheet5!$B:$B,Sheet5!H:H)</f>
        <v>100</v>
      </c>
      <c r="Q98" s="8">
        <f>_xlfn.XLOOKUP($A98,Sheet5!$B:$B,Sheet5!I:I)</f>
        <v>70</v>
      </c>
      <c r="R98" s="8">
        <f>_xlfn.XLOOKUP($A98,Sheet5!$B:$B,Sheet5!J:J)</f>
        <v>30</v>
      </c>
      <c r="S98" s="8">
        <f>_xlfn.XLOOKUP($A98,Sheet6!$B:$B,Sheet6!H:H)</f>
        <v>100</v>
      </c>
      <c r="T98" s="8">
        <f>_xlfn.XLOOKUP($A98,Sheet6!$B:$B,Sheet6!I:I)</f>
        <v>36</v>
      </c>
      <c r="U98" s="9">
        <f>_xlfn.XLOOKUP($A98,Sheet6!$B:$B,Sheet6!J:J)</f>
        <v>100</v>
      </c>
      <c r="V98" s="8">
        <f>_xlfn.XLOOKUP($A98,Sheet7!$B:$B,Sheet7!H:H)</f>
        <v>0</v>
      </c>
      <c r="W98" s="8">
        <f>_xlfn.XLOOKUP($A98,Sheet7!$B:$B,Sheet7!I:I)</f>
        <v>0</v>
      </c>
      <c r="X98" s="8">
        <f>_xlfn.XLOOKUP($A98,Sheet7!$B:$B,Sheet7!J:J)</f>
        <v>0</v>
      </c>
      <c r="Y98" s="8">
        <f>_xlfn.XLOOKUP($A98,Sheet8!$B:$B,Sheet8!H:H)</f>
        <v>100</v>
      </c>
      <c r="Z98" s="8">
        <f>_xlfn.XLOOKUP($A98,Sheet8!$B:$B,Sheet8!I:I)</f>
        <v>0</v>
      </c>
      <c r="AA98" s="9">
        <f>_xlfn.XLOOKUP($A98,Sheet8!$B:$B,Sheet8!J:J)</f>
        <v>0</v>
      </c>
      <c r="AB98" s="6">
        <f>_xlfn.XLOOKUP($A98,Sheet1!$B:$B,Sheet1!G:G,0)+_xlfn.XLOOKUP($A98,Sheet2!$B:$B,Sheet2!G:G,0)</f>
        <v>156</v>
      </c>
      <c r="AC98" s="6">
        <f>_xlfn.XLOOKUP($A98,Sheet3!$B:$B,Sheet3!G:G,0)+_xlfn.XLOOKUP($A98,Sheet4!$B:$B,Sheet4!G:G,0)</f>
        <v>284</v>
      </c>
      <c r="AD98" s="6">
        <f>_xlfn.XLOOKUP($A98,Sheet5!$B:$B,Sheet5!G:G,0)+_xlfn.XLOOKUP($A98,Sheet6!$B:$B,Sheet6!G:G,0)</f>
        <v>436</v>
      </c>
      <c r="AE98" s="6">
        <f>_xlfn.XLOOKUP($A98,Sheet7!$B:$B,Sheet7!G:G,0)+_xlfn.XLOOKUP($A98,Sheet8!$B:$B,Sheet8!G:G,0)</f>
        <v>100</v>
      </c>
      <c r="AF98" s="6" cm="1">
        <f t="array" ref="AF98">SUM(IFERROR(AB98:AE98,0))</f>
        <v>976</v>
      </c>
      <c r="AG98" s="6">
        <f t="shared" si="1"/>
        <v>95</v>
      </c>
    </row>
    <row r="99" spans="1:33" ht="15.6" x14ac:dyDescent="0.3">
      <c r="A99" s="6" t="s">
        <v>430</v>
      </c>
      <c r="B99" s="6" t="str">
        <f>_xlfn.XLOOKUP($A99,Sheet3!$B:$B,Sheet3!D:D)</f>
        <v>西安市铁一中学</v>
      </c>
      <c r="C99" s="7" t="str">
        <f>_xlfn.XLOOKUP($A99,Sheet3!$B:$B,Sheet3!E:E)</f>
        <v>李东宸</v>
      </c>
      <c r="D99" s="6">
        <f>_xlfn.XLOOKUP($A99,Sheet1!$B:$B,Sheet1!H:H)</f>
        <v>24</v>
      </c>
      <c r="E99" s="6">
        <f>_xlfn.XLOOKUP($A99,Sheet1!$B:$B,Sheet1!I:I)</f>
        <v>0</v>
      </c>
      <c r="F99" s="6">
        <f>_xlfn.XLOOKUP($A99,Sheet1!$B:$B,Sheet1!J:J)</f>
        <v>0</v>
      </c>
      <c r="G99" s="6">
        <f>_xlfn.XLOOKUP($A99,Sheet2!$B:$B,Sheet2!H:H)</f>
        <v>100</v>
      </c>
      <c r="H99" s="6">
        <f>_xlfn.XLOOKUP($A99,Sheet2!$B:$B,Sheet2!I:I)</f>
        <v>8</v>
      </c>
      <c r="I99" s="7">
        <f>_xlfn.XLOOKUP($A99,Sheet2!$B:$B,Sheet2!J:J)</f>
        <v>12</v>
      </c>
      <c r="J99" s="8">
        <f>_xlfn.XLOOKUP($A99,Sheet3!$B:$B,Sheet3!H:H)</f>
        <v>100</v>
      </c>
      <c r="K99" s="8">
        <f>_xlfn.XLOOKUP($A99,Sheet3!$B:$B,Sheet3!I:I)</f>
        <v>40</v>
      </c>
      <c r="L99" s="8">
        <f>_xlfn.XLOOKUP($A99,Sheet3!$B:$B,Sheet3!J:J)</f>
        <v>40</v>
      </c>
      <c r="M99" s="8">
        <f>_xlfn.XLOOKUP($A99,Sheet4!$B:$B,Sheet4!H:H)</f>
        <v>100</v>
      </c>
      <c r="N99" s="8">
        <f>_xlfn.XLOOKUP($A99,Sheet4!$B:$B,Sheet4!I:I)</f>
        <v>11</v>
      </c>
      <c r="O99" s="9">
        <f>_xlfn.XLOOKUP($A99,Sheet4!$B:$B,Sheet4!J:J)</f>
        <v>0</v>
      </c>
      <c r="P99" s="8">
        <f>_xlfn.XLOOKUP($A99,Sheet5!$B:$B,Sheet5!H:H)</f>
        <v>100</v>
      </c>
      <c r="Q99" s="8">
        <f>_xlfn.XLOOKUP($A99,Sheet5!$B:$B,Sheet5!I:I)</f>
        <v>80</v>
      </c>
      <c r="R99" s="8">
        <f>_xlfn.XLOOKUP($A99,Sheet5!$B:$B,Sheet5!J:J)</f>
        <v>0</v>
      </c>
      <c r="S99" s="8">
        <f>_xlfn.XLOOKUP($A99,Sheet6!$B:$B,Sheet6!H:H)</f>
        <v>100</v>
      </c>
      <c r="T99" s="8">
        <f>_xlfn.XLOOKUP($A99,Sheet6!$B:$B,Sheet6!I:I)</f>
        <v>36</v>
      </c>
      <c r="U99" s="9">
        <f>_xlfn.XLOOKUP($A99,Sheet6!$B:$B,Sheet6!J:J)</f>
        <v>4</v>
      </c>
      <c r="V99" s="8">
        <f>_xlfn.XLOOKUP($A99,Sheet7!$B:$B,Sheet7!H:H)</f>
        <v>100</v>
      </c>
      <c r="W99" s="8">
        <f>_xlfn.XLOOKUP($A99,Sheet7!$B:$B,Sheet7!I:I)</f>
        <v>0</v>
      </c>
      <c r="X99" s="8">
        <f>_xlfn.XLOOKUP($A99,Sheet7!$B:$B,Sheet7!J:J)</f>
        <v>14</v>
      </c>
      <c r="Y99" s="8">
        <f>_xlfn.XLOOKUP($A99,Sheet8!$B:$B,Sheet8!H:H)</f>
        <v>100</v>
      </c>
      <c r="Z99" s="8">
        <f>_xlfn.XLOOKUP($A99,Sheet8!$B:$B,Sheet8!I:I)</f>
        <v>0</v>
      </c>
      <c r="AA99" s="9">
        <f>_xlfn.XLOOKUP($A99,Sheet8!$B:$B,Sheet8!J:J)</f>
        <v>0</v>
      </c>
      <c r="AB99" s="6">
        <f>_xlfn.XLOOKUP($A99,Sheet1!$B:$B,Sheet1!G:G,0)+_xlfn.XLOOKUP($A99,Sheet2!$B:$B,Sheet2!G:G,0)</f>
        <v>144</v>
      </c>
      <c r="AC99" s="6">
        <f>_xlfn.XLOOKUP($A99,Sheet3!$B:$B,Sheet3!G:G,0)+_xlfn.XLOOKUP($A99,Sheet4!$B:$B,Sheet4!G:G,0)</f>
        <v>291</v>
      </c>
      <c r="AD99" s="6">
        <f>_xlfn.XLOOKUP($A99,Sheet5!$B:$B,Sheet5!G:G,0)+_xlfn.XLOOKUP($A99,Sheet6!$B:$B,Sheet6!G:G,0)</f>
        <v>320</v>
      </c>
      <c r="AE99" s="6">
        <f>_xlfn.XLOOKUP($A99,Sheet7!$B:$B,Sheet7!G:G,0)+_xlfn.XLOOKUP($A99,Sheet8!$B:$B,Sheet8!G:G,0)</f>
        <v>214</v>
      </c>
      <c r="AF99" s="6" cm="1">
        <f t="array" ref="AF99">SUM(IFERROR(AB99:AE99,0))</f>
        <v>969</v>
      </c>
      <c r="AG99" s="6">
        <f t="shared" si="1"/>
        <v>96</v>
      </c>
    </row>
    <row r="100" spans="1:33" ht="15.6" x14ac:dyDescent="0.3">
      <c r="A100" s="6" t="s">
        <v>473</v>
      </c>
      <c r="B100" s="6" t="str">
        <f>_xlfn.XLOOKUP($A100,Sheet3!$B:$B,Sheet3!D:D)</f>
        <v>上海市曹杨第二中学</v>
      </c>
      <c r="C100" s="7" t="str">
        <f>_xlfn.XLOOKUP($A100,Sheet3!$B:$B,Sheet3!E:E)</f>
        <v>蒋周运</v>
      </c>
      <c r="D100" s="6">
        <f>_xlfn.XLOOKUP($A100,Sheet1!$B:$B,Sheet1!H:H)</f>
        <v>18</v>
      </c>
      <c r="E100" s="6">
        <f>_xlfn.XLOOKUP($A100,Sheet1!$B:$B,Sheet1!I:I)</f>
        <v>0</v>
      </c>
      <c r="F100" s="6">
        <f>_xlfn.XLOOKUP($A100,Sheet1!$B:$B,Sheet1!J:J)</f>
        <v>0</v>
      </c>
      <c r="G100" s="6">
        <f>_xlfn.XLOOKUP($A100,Sheet2!$B:$B,Sheet2!H:H)</f>
        <v>100</v>
      </c>
      <c r="H100" s="6">
        <f>_xlfn.XLOOKUP($A100,Sheet2!$B:$B,Sheet2!I:I)</f>
        <v>32</v>
      </c>
      <c r="I100" s="7">
        <f>_xlfn.XLOOKUP($A100,Sheet2!$B:$B,Sheet2!J:J)</f>
        <v>12</v>
      </c>
      <c r="J100" s="8">
        <f>_xlfn.XLOOKUP($A100,Sheet3!$B:$B,Sheet3!H:H)</f>
        <v>100</v>
      </c>
      <c r="K100" s="8">
        <f>_xlfn.XLOOKUP($A100,Sheet3!$B:$B,Sheet3!I:I)</f>
        <v>40</v>
      </c>
      <c r="L100" s="8">
        <f>_xlfn.XLOOKUP($A100,Sheet3!$B:$B,Sheet3!J:J)</f>
        <v>50</v>
      </c>
      <c r="M100" s="8">
        <f>_xlfn.XLOOKUP($A100,Sheet4!$B:$B,Sheet4!H:H)</f>
        <v>100</v>
      </c>
      <c r="N100" s="8">
        <f>_xlfn.XLOOKUP($A100,Sheet4!$B:$B,Sheet4!I:I)</f>
        <v>90</v>
      </c>
      <c r="O100" s="9">
        <f>_xlfn.XLOOKUP($A100,Sheet4!$B:$B,Sheet4!J:J)</f>
        <v>0</v>
      </c>
      <c r="P100" s="8">
        <f>_xlfn.XLOOKUP($A100,Sheet5!$B:$B,Sheet5!H:H)</f>
        <v>100</v>
      </c>
      <c r="Q100" s="8">
        <f>_xlfn.XLOOKUP($A100,Sheet5!$B:$B,Sheet5!I:I)</f>
        <v>32</v>
      </c>
      <c r="R100" s="8">
        <f>_xlfn.XLOOKUP($A100,Sheet5!$B:$B,Sheet5!J:J)</f>
        <v>0</v>
      </c>
      <c r="S100" s="8">
        <f>_xlfn.XLOOKUP($A100,Sheet6!$B:$B,Sheet6!H:H)</f>
        <v>100</v>
      </c>
      <c r="T100" s="8">
        <f>_xlfn.XLOOKUP($A100,Sheet6!$B:$B,Sheet6!I:I)</f>
        <v>52</v>
      </c>
      <c r="U100" s="9">
        <f>_xlfn.XLOOKUP($A100,Sheet6!$B:$B,Sheet6!J:J)</f>
        <v>0</v>
      </c>
      <c r="V100" s="8">
        <f>_xlfn.XLOOKUP($A100,Sheet7!$B:$B,Sheet7!H:H)</f>
        <v>100</v>
      </c>
      <c r="W100" s="8">
        <f>_xlfn.XLOOKUP($A100,Sheet7!$B:$B,Sheet7!I:I)</f>
        <v>0</v>
      </c>
      <c r="X100" s="8">
        <f>_xlfn.XLOOKUP($A100,Sheet7!$B:$B,Sheet7!J:J)</f>
        <v>42</v>
      </c>
      <c r="Y100" s="8">
        <f>_xlfn.XLOOKUP($A100,Sheet8!$B:$B,Sheet8!H:H)</f>
        <v>0</v>
      </c>
      <c r="Z100" s="8">
        <f>_xlfn.XLOOKUP($A100,Sheet8!$B:$B,Sheet8!I:I)</f>
        <v>0</v>
      </c>
      <c r="AA100" s="9">
        <f>_xlfn.XLOOKUP($A100,Sheet8!$B:$B,Sheet8!J:J)</f>
        <v>0</v>
      </c>
      <c r="AB100" s="6">
        <f>_xlfn.XLOOKUP($A100,Sheet1!$B:$B,Sheet1!G:G,0)+_xlfn.XLOOKUP($A100,Sheet2!$B:$B,Sheet2!G:G,0)</f>
        <v>162</v>
      </c>
      <c r="AC100" s="6">
        <f>_xlfn.XLOOKUP($A100,Sheet3!$B:$B,Sheet3!G:G,0)+_xlfn.XLOOKUP($A100,Sheet4!$B:$B,Sheet4!G:G,0)</f>
        <v>380</v>
      </c>
      <c r="AD100" s="6">
        <f>_xlfn.XLOOKUP($A100,Sheet5!$B:$B,Sheet5!G:G,0)+_xlfn.XLOOKUP($A100,Sheet6!$B:$B,Sheet6!G:G,0)</f>
        <v>284</v>
      </c>
      <c r="AE100" s="6">
        <f>_xlfn.XLOOKUP($A100,Sheet7!$B:$B,Sheet7!G:G,0)+_xlfn.XLOOKUP($A100,Sheet8!$B:$B,Sheet8!G:G,0)</f>
        <v>142</v>
      </c>
      <c r="AF100" s="6" cm="1">
        <f t="array" ref="AF100">SUM(IFERROR(AB100:AE100,0))</f>
        <v>968</v>
      </c>
      <c r="AG100" s="6">
        <f t="shared" si="1"/>
        <v>97</v>
      </c>
    </row>
    <row r="101" spans="1:33" ht="15.6" x14ac:dyDescent="0.3">
      <c r="A101" s="6" t="s">
        <v>400</v>
      </c>
      <c r="B101" s="6" t="str">
        <f>_xlfn.XLOOKUP($A101,Sheet3!$B:$B,Sheet3!D:D)</f>
        <v>深圳中学</v>
      </c>
      <c r="C101" s="7" t="str">
        <f>_xlfn.XLOOKUP($A101,Sheet3!$B:$B,Sheet3!E:E)</f>
        <v>祝钰杰</v>
      </c>
      <c r="D101" s="6">
        <f>_xlfn.XLOOKUP($A101,Sheet1!$B:$B,Sheet1!H:H)</f>
        <v>24</v>
      </c>
      <c r="E101" s="6">
        <f>_xlfn.XLOOKUP($A101,Sheet1!$B:$B,Sheet1!I:I)</f>
        <v>0</v>
      </c>
      <c r="F101" s="6">
        <f>_xlfn.XLOOKUP($A101,Sheet1!$B:$B,Sheet1!J:J)</f>
        <v>0</v>
      </c>
      <c r="G101" s="6">
        <f>_xlfn.XLOOKUP($A101,Sheet2!$B:$B,Sheet2!H:H)</f>
        <v>100</v>
      </c>
      <c r="H101" s="6">
        <f>_xlfn.XLOOKUP($A101,Sheet2!$B:$B,Sheet2!I:I)</f>
        <v>32</v>
      </c>
      <c r="I101" s="7">
        <f>_xlfn.XLOOKUP($A101,Sheet2!$B:$B,Sheet2!J:J)</f>
        <v>0</v>
      </c>
      <c r="J101" s="8">
        <f>_xlfn.XLOOKUP($A101,Sheet3!$B:$B,Sheet3!H:H)</f>
        <v>100</v>
      </c>
      <c r="K101" s="8">
        <f>_xlfn.XLOOKUP($A101,Sheet3!$B:$B,Sheet3!I:I)</f>
        <v>60</v>
      </c>
      <c r="L101" s="8">
        <f>_xlfn.XLOOKUP($A101,Sheet3!$B:$B,Sheet3!J:J)</f>
        <v>40</v>
      </c>
      <c r="M101" s="8">
        <f>_xlfn.XLOOKUP($A101,Sheet4!$B:$B,Sheet4!H:H)</f>
        <v>100</v>
      </c>
      <c r="N101" s="8">
        <f>_xlfn.XLOOKUP($A101,Sheet4!$B:$B,Sheet4!I:I)</f>
        <v>11</v>
      </c>
      <c r="O101" s="9">
        <f>_xlfn.XLOOKUP($A101,Sheet4!$B:$B,Sheet4!J:J)</f>
        <v>22</v>
      </c>
      <c r="P101" s="8">
        <f>_xlfn.XLOOKUP($A101,Sheet5!$B:$B,Sheet5!H:H)</f>
        <v>100</v>
      </c>
      <c r="Q101" s="8">
        <f>_xlfn.XLOOKUP($A101,Sheet5!$B:$B,Sheet5!I:I)</f>
        <v>32</v>
      </c>
      <c r="R101" s="8">
        <f>_xlfn.XLOOKUP($A101,Sheet5!$B:$B,Sheet5!J:J)</f>
        <v>30</v>
      </c>
      <c r="S101" s="8">
        <f>_xlfn.XLOOKUP($A101,Sheet6!$B:$B,Sheet6!H:H)</f>
        <v>100</v>
      </c>
      <c r="T101" s="8">
        <f>_xlfn.XLOOKUP($A101,Sheet6!$B:$B,Sheet6!I:I)</f>
        <v>16</v>
      </c>
      <c r="U101" s="9">
        <f>_xlfn.XLOOKUP($A101,Sheet6!$B:$B,Sheet6!J:J)</f>
        <v>0</v>
      </c>
      <c r="V101" s="8">
        <f>_xlfn.XLOOKUP($A101,Sheet7!$B:$B,Sheet7!H:H)</f>
        <v>100</v>
      </c>
      <c r="W101" s="8">
        <f>_xlfn.XLOOKUP($A101,Sheet7!$B:$B,Sheet7!I:I)</f>
        <v>0</v>
      </c>
      <c r="X101" s="8">
        <f>_xlfn.XLOOKUP($A101,Sheet7!$B:$B,Sheet7!J:J)</f>
        <v>24</v>
      </c>
      <c r="Y101" s="8">
        <f>_xlfn.XLOOKUP($A101,Sheet8!$B:$B,Sheet8!H:H)</f>
        <v>70</v>
      </c>
      <c r="Z101" s="8">
        <f>_xlfn.XLOOKUP($A101,Sheet8!$B:$B,Sheet8!I:I)</f>
        <v>0</v>
      </c>
      <c r="AA101" s="9">
        <f>_xlfn.XLOOKUP($A101,Sheet8!$B:$B,Sheet8!J:J)</f>
        <v>0</v>
      </c>
      <c r="AB101" s="6">
        <f>_xlfn.XLOOKUP($A101,Sheet1!$B:$B,Sheet1!G:G,0)+_xlfn.XLOOKUP($A101,Sheet2!$B:$B,Sheet2!G:G,0)</f>
        <v>156</v>
      </c>
      <c r="AC101" s="6">
        <f>_xlfn.XLOOKUP($A101,Sheet3!$B:$B,Sheet3!G:G,0)+_xlfn.XLOOKUP($A101,Sheet4!$B:$B,Sheet4!G:G,0)</f>
        <v>333</v>
      </c>
      <c r="AD101" s="6">
        <f>_xlfn.XLOOKUP($A101,Sheet5!$B:$B,Sheet5!G:G,0)+_xlfn.XLOOKUP($A101,Sheet6!$B:$B,Sheet6!G:G,0)</f>
        <v>278</v>
      </c>
      <c r="AE101" s="6">
        <f>_xlfn.XLOOKUP($A101,Sheet7!$B:$B,Sheet7!G:G,0)+_xlfn.XLOOKUP($A101,Sheet8!$B:$B,Sheet8!G:G,0)</f>
        <v>194</v>
      </c>
      <c r="AF101" s="6" cm="1">
        <f t="array" ref="AF101">SUM(IFERROR(AB101:AE101,0))</f>
        <v>961</v>
      </c>
      <c r="AG101" s="6">
        <f t="shared" si="1"/>
        <v>98</v>
      </c>
    </row>
    <row r="102" spans="1:33" ht="15.6" x14ac:dyDescent="0.3">
      <c r="A102" s="6" t="s">
        <v>128</v>
      </c>
      <c r="B102" s="6" t="str">
        <f>_xlfn.XLOOKUP($A102,Sheet3!$B:$B,Sheet3!D:D)</f>
        <v>深圳中学</v>
      </c>
      <c r="C102" s="7" t="str">
        <f>_xlfn.XLOOKUP($A102,Sheet3!$B:$B,Sheet3!E:E)</f>
        <v>韦锦成</v>
      </c>
      <c r="D102" s="6">
        <f>_xlfn.XLOOKUP($A102,Sheet1!$B:$B,Sheet1!H:H)</f>
        <v>100</v>
      </c>
      <c r="E102" s="6">
        <f>_xlfn.XLOOKUP($A102,Sheet1!$B:$B,Sheet1!I:I)</f>
        <v>42</v>
      </c>
      <c r="F102" s="6">
        <f>_xlfn.XLOOKUP($A102,Sheet1!$B:$B,Sheet1!J:J)</f>
        <v>7</v>
      </c>
      <c r="G102" s="6">
        <f>_xlfn.XLOOKUP($A102,Sheet2!$B:$B,Sheet2!H:H)</f>
        <v>100</v>
      </c>
      <c r="H102" s="6">
        <f>_xlfn.XLOOKUP($A102,Sheet2!$B:$B,Sheet2!I:I)</f>
        <v>44</v>
      </c>
      <c r="I102" s="7">
        <f>_xlfn.XLOOKUP($A102,Sheet2!$B:$B,Sheet2!J:J)</f>
        <v>8</v>
      </c>
      <c r="J102" s="8">
        <f>_xlfn.XLOOKUP($A102,Sheet3!$B:$B,Sheet3!H:H)</f>
        <v>100</v>
      </c>
      <c r="K102" s="8">
        <f>_xlfn.XLOOKUP($A102,Sheet3!$B:$B,Sheet3!I:I)</f>
        <v>40</v>
      </c>
      <c r="L102" s="8">
        <f>_xlfn.XLOOKUP($A102,Sheet3!$B:$B,Sheet3!J:J)</f>
        <v>40</v>
      </c>
      <c r="M102" s="8" t="e">
        <f>_xlfn.XLOOKUP($A102,Sheet4!$B:$B,Sheet4!H:H)</f>
        <v>#N/A</v>
      </c>
      <c r="N102" s="8" t="e">
        <f>_xlfn.XLOOKUP($A102,Sheet4!$B:$B,Sheet4!I:I)</f>
        <v>#N/A</v>
      </c>
      <c r="O102" s="9" t="e">
        <f>_xlfn.XLOOKUP($A102,Sheet4!$B:$B,Sheet4!J:J)</f>
        <v>#N/A</v>
      </c>
      <c r="P102" s="8">
        <f>_xlfn.XLOOKUP($A102,Sheet5!$B:$B,Sheet5!H:H)</f>
        <v>100</v>
      </c>
      <c r="Q102" s="8">
        <f>_xlfn.XLOOKUP($A102,Sheet5!$B:$B,Sheet5!I:I)</f>
        <v>61</v>
      </c>
      <c r="R102" s="8">
        <f>_xlfn.XLOOKUP($A102,Sheet5!$B:$B,Sheet5!J:J)</f>
        <v>20</v>
      </c>
      <c r="S102" s="8">
        <f>_xlfn.XLOOKUP($A102,Sheet6!$B:$B,Sheet6!H:H)</f>
        <v>100</v>
      </c>
      <c r="T102" s="8">
        <f>_xlfn.XLOOKUP($A102,Sheet6!$B:$B,Sheet6!I:I)</f>
        <v>24</v>
      </c>
      <c r="U102" s="9">
        <f>_xlfn.XLOOKUP($A102,Sheet6!$B:$B,Sheet6!J:J)</f>
        <v>0</v>
      </c>
      <c r="V102" s="8" t="e">
        <f>_xlfn.XLOOKUP($A102,Sheet7!$B:$B,Sheet7!H:H)</f>
        <v>#N/A</v>
      </c>
      <c r="W102" s="8" t="e">
        <f>_xlfn.XLOOKUP($A102,Sheet7!$B:$B,Sheet7!I:I)</f>
        <v>#N/A</v>
      </c>
      <c r="X102" s="8" t="e">
        <f>_xlfn.XLOOKUP($A102,Sheet7!$B:$B,Sheet7!J:J)</f>
        <v>#N/A</v>
      </c>
      <c r="Y102" s="8">
        <f>_xlfn.XLOOKUP($A102,Sheet8!$B:$B,Sheet8!H:H)</f>
        <v>100</v>
      </c>
      <c r="Z102" s="8">
        <f>_xlfn.XLOOKUP($A102,Sheet8!$B:$B,Sheet8!I:I)</f>
        <v>45</v>
      </c>
      <c r="AA102" s="9">
        <f>_xlfn.XLOOKUP($A102,Sheet8!$B:$B,Sheet8!J:J)</f>
        <v>20</v>
      </c>
      <c r="AB102" s="6">
        <f>_xlfn.XLOOKUP($A102,Sheet1!$B:$B,Sheet1!G:G,0)+_xlfn.XLOOKUP($A102,Sheet2!$B:$B,Sheet2!G:G,0)</f>
        <v>301</v>
      </c>
      <c r="AC102" s="6">
        <f>_xlfn.XLOOKUP($A102,Sheet3!$B:$B,Sheet3!G:G,0)+_xlfn.XLOOKUP($A102,Sheet4!$B:$B,Sheet4!G:G,0)</f>
        <v>180</v>
      </c>
      <c r="AD102" s="6">
        <f>_xlfn.XLOOKUP($A102,Sheet5!$B:$B,Sheet5!G:G,0)+_xlfn.XLOOKUP($A102,Sheet6!$B:$B,Sheet6!G:G,0)</f>
        <v>305</v>
      </c>
      <c r="AE102" s="6">
        <f>_xlfn.XLOOKUP($A102,Sheet7!$B:$B,Sheet7!G:G,0)+_xlfn.XLOOKUP($A102,Sheet8!$B:$B,Sheet8!G:G,0)</f>
        <v>165</v>
      </c>
      <c r="AF102" s="6" cm="1">
        <f t="array" ref="AF102">SUM(IFERROR(AB102:AE102,0))</f>
        <v>951</v>
      </c>
      <c r="AG102" s="6">
        <f t="shared" si="1"/>
        <v>99</v>
      </c>
    </row>
    <row r="103" spans="1:33" ht="15.6" x14ac:dyDescent="0.3">
      <c r="A103" s="6" t="s">
        <v>320</v>
      </c>
      <c r="B103" s="6" t="str">
        <f>_xlfn.XLOOKUP($A103,Sheet3!$B:$B,Sheet3!D:D)</f>
        <v>西南大学附属中学校</v>
      </c>
      <c r="C103" s="7" t="str">
        <f>_xlfn.XLOOKUP($A103,Sheet3!$B:$B,Sheet3!E:E)</f>
        <v>夏闻道</v>
      </c>
      <c r="D103" s="6">
        <f>_xlfn.XLOOKUP($A103,Sheet1!$B:$B,Sheet1!H:H)</f>
        <v>42</v>
      </c>
      <c r="E103" s="6">
        <f>_xlfn.XLOOKUP($A103,Sheet1!$B:$B,Sheet1!I:I)</f>
        <v>0</v>
      </c>
      <c r="F103" s="6">
        <f>_xlfn.XLOOKUP($A103,Sheet1!$B:$B,Sheet1!J:J)</f>
        <v>7</v>
      </c>
      <c r="G103" s="6">
        <f>_xlfn.XLOOKUP($A103,Sheet2!$B:$B,Sheet2!H:H)</f>
        <v>100</v>
      </c>
      <c r="H103" s="6">
        <f>_xlfn.XLOOKUP($A103,Sheet2!$B:$B,Sheet2!I:I)</f>
        <v>20</v>
      </c>
      <c r="I103" s="7">
        <f>_xlfn.XLOOKUP($A103,Sheet2!$B:$B,Sheet2!J:J)</f>
        <v>0</v>
      </c>
      <c r="J103" s="8">
        <f>_xlfn.XLOOKUP($A103,Sheet3!$B:$B,Sheet3!H:H)</f>
        <v>100</v>
      </c>
      <c r="K103" s="8">
        <f>_xlfn.XLOOKUP($A103,Sheet3!$B:$B,Sheet3!I:I)</f>
        <v>40</v>
      </c>
      <c r="L103" s="8">
        <f>_xlfn.XLOOKUP($A103,Sheet3!$B:$B,Sheet3!J:J)</f>
        <v>50</v>
      </c>
      <c r="M103" s="8">
        <f>_xlfn.XLOOKUP($A103,Sheet4!$B:$B,Sheet4!H:H)</f>
        <v>60</v>
      </c>
      <c r="N103" s="8">
        <f>_xlfn.XLOOKUP($A103,Sheet4!$B:$B,Sheet4!I:I)</f>
        <v>0</v>
      </c>
      <c r="O103" s="9">
        <f>_xlfn.XLOOKUP($A103,Sheet4!$B:$B,Sheet4!J:J)</f>
        <v>0</v>
      </c>
      <c r="P103" s="8">
        <f>_xlfn.XLOOKUP($A103,Sheet5!$B:$B,Sheet5!H:H)</f>
        <v>100</v>
      </c>
      <c r="Q103" s="8">
        <f>_xlfn.XLOOKUP($A103,Sheet5!$B:$B,Sheet5!I:I)</f>
        <v>58</v>
      </c>
      <c r="R103" s="8">
        <f>_xlfn.XLOOKUP($A103,Sheet5!$B:$B,Sheet5!J:J)</f>
        <v>0</v>
      </c>
      <c r="S103" s="8">
        <f>_xlfn.XLOOKUP($A103,Sheet6!$B:$B,Sheet6!H:H)</f>
        <v>100</v>
      </c>
      <c r="T103" s="8">
        <f>_xlfn.XLOOKUP($A103,Sheet6!$B:$B,Sheet6!I:I)</f>
        <v>36</v>
      </c>
      <c r="U103" s="9">
        <f>_xlfn.XLOOKUP($A103,Sheet6!$B:$B,Sheet6!J:J)</f>
        <v>24</v>
      </c>
      <c r="V103" s="8">
        <f>_xlfn.XLOOKUP($A103,Sheet7!$B:$B,Sheet7!H:H)</f>
        <v>100</v>
      </c>
      <c r="W103" s="8">
        <f>_xlfn.XLOOKUP($A103,Sheet7!$B:$B,Sheet7!I:I)</f>
        <v>10</v>
      </c>
      <c r="X103" s="8">
        <f>_xlfn.XLOOKUP($A103,Sheet7!$B:$B,Sheet7!J:J)</f>
        <v>0</v>
      </c>
      <c r="Y103" s="8">
        <f>_xlfn.XLOOKUP($A103,Sheet8!$B:$B,Sheet8!H:H)</f>
        <v>100</v>
      </c>
      <c r="Z103" s="8">
        <f>_xlfn.XLOOKUP($A103,Sheet8!$B:$B,Sheet8!I:I)</f>
        <v>0</v>
      </c>
      <c r="AA103" s="9">
        <f>_xlfn.XLOOKUP($A103,Sheet8!$B:$B,Sheet8!J:J)</f>
        <v>0</v>
      </c>
      <c r="AB103" s="6">
        <f>_xlfn.XLOOKUP($A103,Sheet1!$B:$B,Sheet1!G:G,0)+_xlfn.XLOOKUP($A103,Sheet2!$B:$B,Sheet2!G:G,0)</f>
        <v>169</v>
      </c>
      <c r="AC103" s="6">
        <f>_xlfn.XLOOKUP($A103,Sheet3!$B:$B,Sheet3!G:G,0)+_xlfn.XLOOKUP($A103,Sheet4!$B:$B,Sheet4!G:G,0)</f>
        <v>250</v>
      </c>
      <c r="AD103" s="6">
        <f>_xlfn.XLOOKUP($A103,Sheet5!$B:$B,Sheet5!G:G,0)+_xlfn.XLOOKUP($A103,Sheet6!$B:$B,Sheet6!G:G,0)</f>
        <v>318</v>
      </c>
      <c r="AE103" s="6">
        <f>_xlfn.XLOOKUP($A103,Sheet7!$B:$B,Sheet7!G:G,0)+_xlfn.XLOOKUP($A103,Sheet8!$B:$B,Sheet8!G:G,0)</f>
        <v>210</v>
      </c>
      <c r="AF103" s="6" cm="1">
        <f t="array" ref="AF103">SUM(IFERROR(AB103:AE103,0))</f>
        <v>947</v>
      </c>
      <c r="AG103" s="6">
        <f t="shared" si="1"/>
        <v>100</v>
      </c>
    </row>
    <row r="104" spans="1:33" ht="15.6" x14ac:dyDescent="0.3">
      <c r="A104" s="6" t="s">
        <v>313</v>
      </c>
      <c r="B104" s="6" t="str">
        <f>_xlfn.XLOOKUP($A104,Sheet3!$B:$B,Sheet3!D:D)</f>
        <v>乐山高新区嘉祥外国语学校</v>
      </c>
      <c r="C104" s="7" t="str">
        <f>_xlfn.XLOOKUP($A104,Sheet3!$B:$B,Sheet3!E:E)</f>
        <v>孙邦博</v>
      </c>
      <c r="D104" s="6">
        <f>_xlfn.XLOOKUP($A104,Sheet1!$B:$B,Sheet1!H:H)</f>
        <v>42</v>
      </c>
      <c r="E104" s="6">
        <f>_xlfn.XLOOKUP($A104,Sheet1!$B:$B,Sheet1!I:I)</f>
        <v>0</v>
      </c>
      <c r="F104" s="6">
        <f>_xlfn.XLOOKUP($A104,Sheet1!$B:$B,Sheet1!J:J)</f>
        <v>7</v>
      </c>
      <c r="G104" s="6">
        <f>_xlfn.XLOOKUP($A104,Sheet2!$B:$B,Sheet2!H:H)</f>
        <v>100</v>
      </c>
      <c r="H104" s="6">
        <f>_xlfn.XLOOKUP($A104,Sheet2!$B:$B,Sheet2!I:I)</f>
        <v>32</v>
      </c>
      <c r="I104" s="7">
        <f>_xlfn.XLOOKUP($A104,Sheet2!$B:$B,Sheet2!J:J)</f>
        <v>12</v>
      </c>
      <c r="J104" s="8">
        <f>_xlfn.XLOOKUP($A104,Sheet3!$B:$B,Sheet3!H:H)</f>
        <v>75</v>
      </c>
      <c r="K104" s="8">
        <f>_xlfn.XLOOKUP($A104,Sheet3!$B:$B,Sheet3!I:I)</f>
        <v>60</v>
      </c>
      <c r="L104" s="8">
        <f>_xlfn.XLOOKUP($A104,Sheet3!$B:$B,Sheet3!J:J)</f>
        <v>40</v>
      </c>
      <c r="M104" s="8">
        <f>_xlfn.XLOOKUP($A104,Sheet4!$B:$B,Sheet4!H:H)</f>
        <v>100</v>
      </c>
      <c r="N104" s="8">
        <f>_xlfn.XLOOKUP($A104,Sheet4!$B:$B,Sheet4!I:I)</f>
        <v>0</v>
      </c>
      <c r="O104" s="9">
        <f>_xlfn.XLOOKUP($A104,Sheet4!$B:$B,Sheet4!J:J)</f>
        <v>0</v>
      </c>
      <c r="P104" s="8">
        <f>_xlfn.XLOOKUP($A104,Sheet5!$B:$B,Sheet5!H:H)</f>
        <v>60</v>
      </c>
      <c r="Q104" s="8">
        <f>_xlfn.XLOOKUP($A104,Sheet5!$B:$B,Sheet5!I:I)</f>
        <v>32</v>
      </c>
      <c r="R104" s="8">
        <f>_xlfn.XLOOKUP($A104,Sheet5!$B:$B,Sheet5!J:J)</f>
        <v>10</v>
      </c>
      <c r="S104" s="8">
        <f>_xlfn.XLOOKUP($A104,Sheet6!$B:$B,Sheet6!H:H)</f>
        <v>100</v>
      </c>
      <c r="T104" s="8">
        <f>_xlfn.XLOOKUP($A104,Sheet6!$B:$B,Sheet6!I:I)</f>
        <v>36</v>
      </c>
      <c r="U104" s="9">
        <f>_xlfn.XLOOKUP($A104,Sheet6!$B:$B,Sheet6!J:J)</f>
        <v>24</v>
      </c>
      <c r="V104" s="8">
        <f>_xlfn.XLOOKUP($A104,Sheet7!$B:$B,Sheet7!H:H)</f>
        <v>100</v>
      </c>
      <c r="W104" s="8">
        <f>_xlfn.XLOOKUP($A104,Sheet7!$B:$B,Sheet7!I:I)</f>
        <v>30</v>
      </c>
      <c r="X104" s="8">
        <f>_xlfn.XLOOKUP($A104,Sheet7!$B:$B,Sheet7!J:J)</f>
        <v>14</v>
      </c>
      <c r="Y104" s="8">
        <f>_xlfn.XLOOKUP($A104,Sheet8!$B:$B,Sheet8!H:H)</f>
        <v>70</v>
      </c>
      <c r="Z104" s="8">
        <f>_xlfn.XLOOKUP($A104,Sheet8!$B:$B,Sheet8!I:I)</f>
        <v>0</v>
      </c>
      <c r="AA104" s="9">
        <f>_xlfn.XLOOKUP($A104,Sheet8!$B:$B,Sheet8!J:J)</f>
        <v>0</v>
      </c>
      <c r="AB104" s="6">
        <f>_xlfn.XLOOKUP($A104,Sheet1!$B:$B,Sheet1!G:G,0)+_xlfn.XLOOKUP($A104,Sheet2!$B:$B,Sheet2!G:G,0)</f>
        <v>193</v>
      </c>
      <c r="AC104" s="6">
        <f>_xlfn.XLOOKUP($A104,Sheet3!$B:$B,Sheet3!G:G,0)+_xlfn.XLOOKUP($A104,Sheet4!$B:$B,Sheet4!G:G,0)</f>
        <v>275</v>
      </c>
      <c r="AD104" s="6">
        <f>_xlfn.XLOOKUP($A104,Sheet5!$B:$B,Sheet5!G:G,0)+_xlfn.XLOOKUP($A104,Sheet6!$B:$B,Sheet6!G:G,0)</f>
        <v>262</v>
      </c>
      <c r="AE104" s="6">
        <f>_xlfn.XLOOKUP($A104,Sheet7!$B:$B,Sheet7!G:G,0)+_xlfn.XLOOKUP($A104,Sheet8!$B:$B,Sheet8!G:G,0)</f>
        <v>214</v>
      </c>
      <c r="AF104" s="6" cm="1">
        <f t="array" ref="AF104">SUM(IFERROR(AB104:AE104,0))</f>
        <v>944</v>
      </c>
      <c r="AG104" s="6">
        <f t="shared" si="1"/>
        <v>101</v>
      </c>
    </row>
    <row r="105" spans="1:33" ht="15.6" x14ac:dyDescent="0.3">
      <c r="A105" s="6" t="s">
        <v>274</v>
      </c>
      <c r="B105" s="6" t="str">
        <f>_xlfn.XLOOKUP($A105,Sheet3!$B:$B,Sheet3!D:D)</f>
        <v>浙江省诸暨市海亮高级中学</v>
      </c>
      <c r="C105" s="7" t="str">
        <f>_xlfn.XLOOKUP($A105,Sheet3!$B:$B,Sheet3!E:E)</f>
        <v>姚岩峰</v>
      </c>
      <c r="D105" s="6">
        <f>_xlfn.XLOOKUP($A105,Sheet1!$B:$B,Sheet1!H:H)</f>
        <v>24</v>
      </c>
      <c r="E105" s="6">
        <f>_xlfn.XLOOKUP($A105,Sheet1!$B:$B,Sheet1!I:I)</f>
        <v>66</v>
      </c>
      <c r="F105" s="6">
        <f>_xlfn.XLOOKUP($A105,Sheet1!$B:$B,Sheet1!J:J)</f>
        <v>0</v>
      </c>
      <c r="G105" s="6">
        <f>_xlfn.XLOOKUP($A105,Sheet2!$B:$B,Sheet2!H:H)</f>
        <v>10</v>
      </c>
      <c r="H105" s="6">
        <f>_xlfn.XLOOKUP($A105,Sheet2!$B:$B,Sheet2!I:I)</f>
        <v>0</v>
      </c>
      <c r="I105" s="7">
        <f>_xlfn.XLOOKUP($A105,Sheet2!$B:$B,Sheet2!J:J)</f>
        <v>12</v>
      </c>
      <c r="J105" s="8">
        <f>_xlfn.XLOOKUP($A105,Sheet3!$B:$B,Sheet3!H:H)</f>
        <v>78</v>
      </c>
      <c r="K105" s="8">
        <f>_xlfn.XLOOKUP($A105,Sheet3!$B:$B,Sheet3!I:I)</f>
        <v>20</v>
      </c>
      <c r="L105" s="8">
        <f>_xlfn.XLOOKUP($A105,Sheet3!$B:$B,Sheet3!J:J)</f>
        <v>0</v>
      </c>
      <c r="M105" s="8">
        <f>_xlfn.XLOOKUP($A105,Sheet4!$B:$B,Sheet4!H:H)</f>
        <v>100</v>
      </c>
      <c r="N105" s="8">
        <f>_xlfn.XLOOKUP($A105,Sheet4!$B:$B,Sheet4!I:I)</f>
        <v>10</v>
      </c>
      <c r="O105" s="9">
        <f>_xlfn.XLOOKUP($A105,Sheet4!$B:$B,Sheet4!J:J)</f>
        <v>0</v>
      </c>
      <c r="P105" s="8">
        <f>_xlfn.XLOOKUP($A105,Sheet5!$B:$B,Sheet5!H:H)</f>
        <v>100</v>
      </c>
      <c r="Q105" s="8">
        <f>_xlfn.XLOOKUP($A105,Sheet5!$B:$B,Sheet5!I:I)</f>
        <v>70</v>
      </c>
      <c r="R105" s="8">
        <f>_xlfn.XLOOKUP($A105,Sheet5!$B:$B,Sheet5!J:J)</f>
        <v>0</v>
      </c>
      <c r="S105" s="8">
        <f>_xlfn.XLOOKUP($A105,Sheet6!$B:$B,Sheet6!H:H)</f>
        <v>100</v>
      </c>
      <c r="T105" s="8">
        <f>_xlfn.XLOOKUP($A105,Sheet6!$B:$B,Sheet6!I:I)</f>
        <v>36</v>
      </c>
      <c r="U105" s="9">
        <f>_xlfn.XLOOKUP($A105,Sheet6!$B:$B,Sheet6!J:J)</f>
        <v>100</v>
      </c>
      <c r="V105" s="8">
        <f>_xlfn.XLOOKUP($A105,Sheet7!$B:$B,Sheet7!H:H)</f>
        <v>100</v>
      </c>
      <c r="W105" s="8">
        <f>_xlfn.XLOOKUP($A105,Sheet7!$B:$B,Sheet7!I:I)</f>
        <v>10</v>
      </c>
      <c r="X105" s="8">
        <f>_xlfn.XLOOKUP($A105,Sheet7!$B:$B,Sheet7!J:J)</f>
        <v>0</v>
      </c>
      <c r="Y105" s="8">
        <f>_xlfn.XLOOKUP($A105,Sheet8!$B:$B,Sheet8!H:H)</f>
        <v>100</v>
      </c>
      <c r="Z105" s="8">
        <f>_xlfn.XLOOKUP($A105,Sheet8!$B:$B,Sheet8!I:I)</f>
        <v>0</v>
      </c>
      <c r="AA105" s="9">
        <f>_xlfn.XLOOKUP($A105,Sheet8!$B:$B,Sheet8!J:J)</f>
        <v>0</v>
      </c>
      <c r="AB105" s="6">
        <f>_xlfn.XLOOKUP($A105,Sheet1!$B:$B,Sheet1!G:G,0)+_xlfn.XLOOKUP($A105,Sheet2!$B:$B,Sheet2!G:G,0)</f>
        <v>112</v>
      </c>
      <c r="AC105" s="6">
        <f>_xlfn.XLOOKUP($A105,Sheet3!$B:$B,Sheet3!G:G,0)+_xlfn.XLOOKUP($A105,Sheet4!$B:$B,Sheet4!G:G,0)</f>
        <v>208</v>
      </c>
      <c r="AD105" s="6">
        <f>_xlfn.XLOOKUP($A105,Sheet5!$B:$B,Sheet5!G:G,0)+_xlfn.XLOOKUP($A105,Sheet6!$B:$B,Sheet6!G:G,0)</f>
        <v>406</v>
      </c>
      <c r="AE105" s="6">
        <f>_xlfn.XLOOKUP($A105,Sheet7!$B:$B,Sheet7!G:G,0)+_xlfn.XLOOKUP($A105,Sheet8!$B:$B,Sheet8!G:G,0)</f>
        <v>210</v>
      </c>
      <c r="AF105" s="6" cm="1">
        <f t="array" ref="AF105">SUM(IFERROR(AB105:AE105,0))</f>
        <v>936</v>
      </c>
      <c r="AG105" s="6">
        <f t="shared" si="1"/>
        <v>102</v>
      </c>
    </row>
    <row r="106" spans="1:33" ht="15.6" x14ac:dyDescent="0.3">
      <c r="A106" s="6" t="s">
        <v>532</v>
      </c>
      <c r="B106" s="6" t="str">
        <f>_xlfn.XLOOKUP($A106,Sheet3!$B:$B,Sheet3!D:D)</f>
        <v>佛山市南海区瀚文外国语学校</v>
      </c>
      <c r="C106" s="7" t="str">
        <f>_xlfn.XLOOKUP($A106,Sheet3!$B:$B,Sheet3!E:E)</f>
        <v>沈圣添</v>
      </c>
      <c r="D106" s="6" t="e">
        <f>_xlfn.XLOOKUP($A106,Sheet1!$B:$B,Sheet1!H:H)</f>
        <v>#N/A</v>
      </c>
      <c r="E106" s="6" t="e">
        <f>_xlfn.XLOOKUP($A106,Sheet1!$B:$B,Sheet1!I:I)</f>
        <v>#N/A</v>
      </c>
      <c r="F106" s="6" t="e">
        <f>_xlfn.XLOOKUP($A106,Sheet1!$B:$B,Sheet1!J:J)</f>
        <v>#N/A</v>
      </c>
      <c r="G106" s="6">
        <f>_xlfn.XLOOKUP($A106,Sheet2!$B:$B,Sheet2!H:H)</f>
        <v>100</v>
      </c>
      <c r="H106" s="6">
        <f>_xlfn.XLOOKUP($A106,Sheet2!$B:$B,Sheet2!I:I)</f>
        <v>56</v>
      </c>
      <c r="I106" s="7">
        <f>_xlfn.XLOOKUP($A106,Sheet2!$B:$B,Sheet2!J:J)</f>
        <v>21</v>
      </c>
      <c r="J106" s="8">
        <f>_xlfn.XLOOKUP($A106,Sheet3!$B:$B,Sheet3!H:H)</f>
        <v>84</v>
      </c>
      <c r="K106" s="8">
        <f>_xlfn.XLOOKUP($A106,Sheet3!$B:$B,Sheet3!I:I)</f>
        <v>40</v>
      </c>
      <c r="L106" s="8">
        <f>_xlfn.XLOOKUP($A106,Sheet3!$B:$B,Sheet3!J:J)</f>
        <v>20</v>
      </c>
      <c r="M106" s="8">
        <f>_xlfn.XLOOKUP($A106,Sheet4!$B:$B,Sheet4!H:H)</f>
        <v>100</v>
      </c>
      <c r="N106" s="8">
        <f>_xlfn.XLOOKUP($A106,Sheet4!$B:$B,Sheet4!I:I)</f>
        <v>11</v>
      </c>
      <c r="O106" s="9">
        <f>_xlfn.XLOOKUP($A106,Sheet4!$B:$B,Sheet4!J:J)</f>
        <v>22</v>
      </c>
      <c r="P106" s="8">
        <f>_xlfn.XLOOKUP($A106,Sheet5!$B:$B,Sheet5!H:H)</f>
        <v>100</v>
      </c>
      <c r="Q106" s="8">
        <f>_xlfn.XLOOKUP($A106,Sheet5!$B:$B,Sheet5!I:I)</f>
        <v>48</v>
      </c>
      <c r="R106" s="8">
        <f>_xlfn.XLOOKUP($A106,Sheet5!$B:$B,Sheet5!J:J)</f>
        <v>10</v>
      </c>
      <c r="S106" s="8">
        <f>_xlfn.XLOOKUP($A106,Sheet6!$B:$B,Sheet6!H:H)</f>
        <v>100</v>
      </c>
      <c r="T106" s="8">
        <f>_xlfn.XLOOKUP($A106,Sheet6!$B:$B,Sheet6!I:I)</f>
        <v>100</v>
      </c>
      <c r="U106" s="9">
        <f>_xlfn.XLOOKUP($A106,Sheet6!$B:$B,Sheet6!J:J)</f>
        <v>16</v>
      </c>
      <c r="V106" s="8" t="e">
        <f>_xlfn.XLOOKUP($A106,Sheet7!$B:$B,Sheet7!H:H)</f>
        <v>#N/A</v>
      </c>
      <c r="W106" s="8" t="e">
        <f>_xlfn.XLOOKUP($A106,Sheet7!$B:$B,Sheet7!I:I)</f>
        <v>#N/A</v>
      </c>
      <c r="X106" s="8" t="e">
        <f>_xlfn.XLOOKUP($A106,Sheet7!$B:$B,Sheet7!J:J)</f>
        <v>#N/A</v>
      </c>
      <c r="Y106" s="8">
        <f>_xlfn.XLOOKUP($A106,Sheet8!$B:$B,Sheet8!H:H)</f>
        <v>100</v>
      </c>
      <c r="Z106" s="8">
        <f>_xlfn.XLOOKUP($A106,Sheet8!$B:$B,Sheet8!I:I)</f>
        <v>0</v>
      </c>
      <c r="AA106" s="9">
        <f>_xlfn.XLOOKUP($A106,Sheet8!$B:$B,Sheet8!J:J)</f>
        <v>0</v>
      </c>
      <c r="AB106" s="6">
        <f>_xlfn.XLOOKUP($A106,Sheet1!$B:$B,Sheet1!G:G,0)+_xlfn.XLOOKUP($A106,Sheet2!$B:$B,Sheet2!G:G,0)</f>
        <v>177</v>
      </c>
      <c r="AC106" s="6">
        <f>_xlfn.XLOOKUP($A106,Sheet3!$B:$B,Sheet3!G:G,0)+_xlfn.XLOOKUP($A106,Sheet4!$B:$B,Sheet4!G:G,0)</f>
        <v>277</v>
      </c>
      <c r="AD106" s="6">
        <f>_xlfn.XLOOKUP($A106,Sheet5!$B:$B,Sheet5!G:G,0)+_xlfn.XLOOKUP($A106,Sheet6!$B:$B,Sheet6!G:G,0)</f>
        <v>374</v>
      </c>
      <c r="AE106" s="6">
        <f>_xlfn.XLOOKUP($A106,Sheet7!$B:$B,Sheet7!G:G,0)+_xlfn.XLOOKUP($A106,Sheet8!$B:$B,Sheet8!G:G,0)</f>
        <v>100</v>
      </c>
      <c r="AF106" s="6" cm="1">
        <f t="array" ref="AF106">SUM(IFERROR(AB106:AE106,0))</f>
        <v>928</v>
      </c>
      <c r="AG106" s="6">
        <f t="shared" si="1"/>
        <v>103</v>
      </c>
    </row>
    <row r="107" spans="1:33" ht="15.6" x14ac:dyDescent="0.3">
      <c r="A107" s="6" t="s">
        <v>240</v>
      </c>
      <c r="B107" s="6" t="str">
        <f>_xlfn.XLOOKUP($A107,Sheet3!$B:$B,Sheet3!D:D)</f>
        <v>成都市第七中学</v>
      </c>
      <c r="C107" s="7" t="str">
        <f>_xlfn.XLOOKUP($A107,Sheet3!$B:$B,Sheet3!E:E)</f>
        <v>古皓羽</v>
      </c>
      <c r="D107" s="6">
        <f>_xlfn.XLOOKUP($A107,Sheet1!$B:$B,Sheet1!H:H)</f>
        <v>100</v>
      </c>
      <c r="E107" s="6">
        <f>_xlfn.XLOOKUP($A107,Sheet1!$B:$B,Sheet1!I:I)</f>
        <v>0</v>
      </c>
      <c r="F107" s="6">
        <f>_xlfn.XLOOKUP($A107,Sheet1!$B:$B,Sheet1!J:J)</f>
        <v>0</v>
      </c>
      <c r="G107" s="6">
        <f>_xlfn.XLOOKUP($A107,Sheet2!$B:$B,Sheet2!H:H)</f>
        <v>100</v>
      </c>
      <c r="H107" s="6">
        <f>_xlfn.XLOOKUP($A107,Sheet2!$B:$B,Sheet2!I:I)</f>
        <v>56</v>
      </c>
      <c r="I107" s="7">
        <f>_xlfn.XLOOKUP($A107,Sheet2!$B:$B,Sheet2!J:J)</f>
        <v>12</v>
      </c>
      <c r="J107" s="8">
        <f>_xlfn.XLOOKUP($A107,Sheet3!$B:$B,Sheet3!H:H)</f>
        <v>40</v>
      </c>
      <c r="K107" s="8">
        <f>_xlfn.XLOOKUP($A107,Sheet3!$B:$B,Sheet3!I:I)</f>
        <v>40</v>
      </c>
      <c r="L107" s="8">
        <f>_xlfn.XLOOKUP($A107,Sheet3!$B:$B,Sheet3!J:J)</f>
        <v>0</v>
      </c>
      <c r="M107" s="8">
        <f>_xlfn.XLOOKUP($A107,Sheet4!$B:$B,Sheet4!H:H)</f>
        <v>100</v>
      </c>
      <c r="N107" s="8">
        <f>_xlfn.XLOOKUP($A107,Sheet4!$B:$B,Sheet4!I:I)</f>
        <v>0</v>
      </c>
      <c r="O107" s="9">
        <f>_xlfn.XLOOKUP($A107,Sheet4!$B:$B,Sheet4!J:J)</f>
        <v>0</v>
      </c>
      <c r="P107" s="8">
        <f>_xlfn.XLOOKUP($A107,Sheet5!$B:$B,Sheet5!H:H)</f>
        <v>100</v>
      </c>
      <c r="Q107" s="8">
        <f>_xlfn.XLOOKUP($A107,Sheet5!$B:$B,Sheet5!I:I)</f>
        <v>32</v>
      </c>
      <c r="R107" s="8">
        <f>_xlfn.XLOOKUP($A107,Sheet5!$B:$B,Sheet5!J:J)</f>
        <v>0</v>
      </c>
      <c r="S107" s="8">
        <f>_xlfn.XLOOKUP($A107,Sheet6!$B:$B,Sheet6!H:H)</f>
        <v>100</v>
      </c>
      <c r="T107" s="8">
        <f>_xlfn.XLOOKUP($A107,Sheet6!$B:$B,Sheet6!I:I)</f>
        <v>92</v>
      </c>
      <c r="U107" s="9">
        <f>_xlfn.XLOOKUP($A107,Sheet6!$B:$B,Sheet6!J:J)</f>
        <v>0</v>
      </c>
      <c r="V107" s="8">
        <f>_xlfn.XLOOKUP($A107,Sheet7!$B:$B,Sheet7!H:H)</f>
        <v>55</v>
      </c>
      <c r="W107" s="8">
        <f>_xlfn.XLOOKUP($A107,Sheet7!$B:$B,Sheet7!I:I)</f>
        <v>0</v>
      </c>
      <c r="X107" s="8">
        <f>_xlfn.XLOOKUP($A107,Sheet7!$B:$B,Sheet7!J:J)</f>
        <v>0</v>
      </c>
      <c r="Y107" s="8">
        <f>_xlfn.XLOOKUP($A107,Sheet8!$B:$B,Sheet8!H:H)</f>
        <v>100</v>
      </c>
      <c r="Z107" s="8">
        <f>_xlfn.XLOOKUP($A107,Sheet8!$B:$B,Sheet8!I:I)</f>
        <v>0</v>
      </c>
      <c r="AA107" s="9">
        <f>_xlfn.XLOOKUP($A107,Sheet8!$B:$B,Sheet8!J:J)</f>
        <v>0</v>
      </c>
      <c r="AB107" s="6">
        <f>_xlfn.XLOOKUP($A107,Sheet1!$B:$B,Sheet1!G:G,0)+_xlfn.XLOOKUP($A107,Sheet2!$B:$B,Sheet2!G:G,0)</f>
        <v>268</v>
      </c>
      <c r="AC107" s="6">
        <f>_xlfn.XLOOKUP($A107,Sheet3!$B:$B,Sheet3!G:G,0)+_xlfn.XLOOKUP($A107,Sheet4!$B:$B,Sheet4!G:G,0)</f>
        <v>180</v>
      </c>
      <c r="AD107" s="6">
        <f>_xlfn.XLOOKUP($A107,Sheet5!$B:$B,Sheet5!G:G,0)+_xlfn.XLOOKUP($A107,Sheet6!$B:$B,Sheet6!G:G,0)</f>
        <v>324</v>
      </c>
      <c r="AE107" s="6">
        <f>_xlfn.XLOOKUP($A107,Sheet7!$B:$B,Sheet7!G:G,0)+_xlfn.XLOOKUP($A107,Sheet8!$B:$B,Sheet8!G:G,0)</f>
        <v>155</v>
      </c>
      <c r="AF107" s="6" cm="1">
        <f t="array" ref="AF107">SUM(IFERROR(AB107:AE107,0))</f>
        <v>927</v>
      </c>
      <c r="AG107" s="6">
        <f t="shared" si="1"/>
        <v>104</v>
      </c>
    </row>
    <row r="108" spans="1:33" ht="15.6" x14ac:dyDescent="0.3">
      <c r="A108" s="6" t="s">
        <v>388</v>
      </c>
      <c r="B108" s="6" t="str">
        <f>_xlfn.XLOOKUP($A108,Sheet3!$B:$B,Sheet3!D:D)</f>
        <v>广东实验中学</v>
      </c>
      <c r="C108" s="7" t="str">
        <f>_xlfn.XLOOKUP($A108,Sheet3!$B:$B,Sheet3!E:E)</f>
        <v>林轩睿</v>
      </c>
      <c r="D108" s="6">
        <f>_xlfn.XLOOKUP($A108,Sheet1!$B:$B,Sheet1!H:H)</f>
        <v>24</v>
      </c>
      <c r="E108" s="6">
        <f>_xlfn.XLOOKUP($A108,Sheet1!$B:$B,Sheet1!I:I)</f>
        <v>0</v>
      </c>
      <c r="F108" s="6">
        <f>_xlfn.XLOOKUP($A108,Sheet1!$B:$B,Sheet1!J:J)</f>
        <v>7</v>
      </c>
      <c r="G108" s="6">
        <f>_xlfn.XLOOKUP($A108,Sheet2!$B:$B,Sheet2!H:H)</f>
        <v>20</v>
      </c>
      <c r="H108" s="6">
        <f>_xlfn.XLOOKUP($A108,Sheet2!$B:$B,Sheet2!I:I)</f>
        <v>32</v>
      </c>
      <c r="I108" s="7">
        <f>_xlfn.XLOOKUP($A108,Sheet2!$B:$B,Sheet2!J:J)</f>
        <v>15</v>
      </c>
      <c r="J108" s="8">
        <f>_xlfn.XLOOKUP($A108,Sheet3!$B:$B,Sheet3!H:H)</f>
        <v>84</v>
      </c>
      <c r="K108" s="8">
        <f>_xlfn.XLOOKUP($A108,Sheet3!$B:$B,Sheet3!I:I)</f>
        <v>40</v>
      </c>
      <c r="L108" s="8">
        <f>_xlfn.XLOOKUP($A108,Sheet3!$B:$B,Sheet3!J:J)</f>
        <v>20</v>
      </c>
      <c r="M108" s="8">
        <f>_xlfn.XLOOKUP($A108,Sheet4!$B:$B,Sheet4!H:H)</f>
        <v>100</v>
      </c>
      <c r="N108" s="8">
        <f>_xlfn.XLOOKUP($A108,Sheet4!$B:$B,Sheet4!I:I)</f>
        <v>11</v>
      </c>
      <c r="O108" s="9">
        <f>_xlfn.XLOOKUP($A108,Sheet4!$B:$B,Sheet4!J:J)</f>
        <v>5</v>
      </c>
      <c r="P108" s="8">
        <f>_xlfn.XLOOKUP($A108,Sheet5!$B:$B,Sheet5!H:H)</f>
        <v>100</v>
      </c>
      <c r="Q108" s="8">
        <f>_xlfn.XLOOKUP($A108,Sheet5!$B:$B,Sheet5!I:I)</f>
        <v>0</v>
      </c>
      <c r="R108" s="8">
        <f>_xlfn.XLOOKUP($A108,Sheet5!$B:$B,Sheet5!J:J)</f>
        <v>10</v>
      </c>
      <c r="S108" s="8">
        <f>_xlfn.XLOOKUP($A108,Sheet6!$B:$B,Sheet6!H:H)</f>
        <v>100</v>
      </c>
      <c r="T108" s="8">
        <f>_xlfn.XLOOKUP($A108,Sheet6!$B:$B,Sheet6!I:I)</f>
        <v>0</v>
      </c>
      <c r="U108" s="9">
        <f>_xlfn.XLOOKUP($A108,Sheet6!$B:$B,Sheet6!J:J)</f>
        <v>24</v>
      </c>
      <c r="V108" s="8">
        <f>_xlfn.XLOOKUP($A108,Sheet7!$B:$B,Sheet7!H:H)</f>
        <v>100</v>
      </c>
      <c r="W108" s="8">
        <f>_xlfn.XLOOKUP($A108,Sheet7!$B:$B,Sheet7!I:I)</f>
        <v>80</v>
      </c>
      <c r="X108" s="8">
        <f>_xlfn.XLOOKUP($A108,Sheet7!$B:$B,Sheet7!J:J)</f>
        <v>14</v>
      </c>
      <c r="Y108" s="8">
        <f>_xlfn.XLOOKUP($A108,Sheet8!$B:$B,Sheet8!H:H)</f>
        <v>100</v>
      </c>
      <c r="Z108" s="8">
        <f>_xlfn.XLOOKUP($A108,Sheet8!$B:$B,Sheet8!I:I)</f>
        <v>0</v>
      </c>
      <c r="AA108" s="9">
        <f>_xlfn.XLOOKUP($A108,Sheet8!$B:$B,Sheet8!J:J)</f>
        <v>40</v>
      </c>
      <c r="AB108" s="6">
        <f>_xlfn.XLOOKUP($A108,Sheet1!$B:$B,Sheet1!G:G,0)+_xlfn.XLOOKUP($A108,Sheet2!$B:$B,Sheet2!G:G,0)</f>
        <v>98</v>
      </c>
      <c r="AC108" s="6">
        <f>_xlfn.XLOOKUP($A108,Sheet3!$B:$B,Sheet3!G:G,0)+_xlfn.XLOOKUP($A108,Sheet4!$B:$B,Sheet4!G:G,0)</f>
        <v>260</v>
      </c>
      <c r="AD108" s="6">
        <f>_xlfn.XLOOKUP($A108,Sheet5!$B:$B,Sheet5!G:G,0)+_xlfn.XLOOKUP($A108,Sheet6!$B:$B,Sheet6!G:G,0)</f>
        <v>234</v>
      </c>
      <c r="AE108" s="6">
        <f>_xlfn.XLOOKUP($A108,Sheet7!$B:$B,Sheet7!G:G,0)+_xlfn.XLOOKUP($A108,Sheet8!$B:$B,Sheet8!G:G,0)</f>
        <v>334</v>
      </c>
      <c r="AF108" s="6" cm="1">
        <f t="array" ref="AF108">SUM(IFERROR(AB108:AE108,0))</f>
        <v>926</v>
      </c>
      <c r="AG108" s="6">
        <f t="shared" si="1"/>
        <v>105</v>
      </c>
    </row>
    <row r="109" spans="1:33" ht="15.6" x14ac:dyDescent="0.3">
      <c r="A109" s="6" t="s">
        <v>479</v>
      </c>
      <c r="B109" s="6" t="str">
        <f>_xlfn.XLOOKUP($A109,Sheet3!$B:$B,Sheet3!D:D)</f>
        <v>广州大学附属中学</v>
      </c>
      <c r="C109" s="7" t="str">
        <f>_xlfn.XLOOKUP($A109,Sheet3!$B:$B,Sheet3!E:E)</f>
        <v>姚宇翔</v>
      </c>
      <c r="D109" s="6">
        <f>_xlfn.XLOOKUP($A109,Sheet1!$B:$B,Sheet1!H:H)</f>
        <v>12</v>
      </c>
      <c r="E109" s="6">
        <f>_xlfn.XLOOKUP($A109,Sheet1!$B:$B,Sheet1!I:I)</f>
        <v>0</v>
      </c>
      <c r="F109" s="6">
        <f>_xlfn.XLOOKUP($A109,Sheet1!$B:$B,Sheet1!J:J)</f>
        <v>0</v>
      </c>
      <c r="G109" s="6">
        <f>_xlfn.XLOOKUP($A109,Sheet2!$B:$B,Sheet2!H:H)</f>
        <v>100</v>
      </c>
      <c r="H109" s="6">
        <f>_xlfn.XLOOKUP($A109,Sheet2!$B:$B,Sheet2!I:I)</f>
        <v>20</v>
      </c>
      <c r="I109" s="7">
        <f>_xlfn.XLOOKUP($A109,Sheet2!$B:$B,Sheet2!J:J)</f>
        <v>12</v>
      </c>
      <c r="J109" s="8">
        <f>_xlfn.XLOOKUP($A109,Sheet3!$B:$B,Sheet3!H:H)</f>
        <v>100</v>
      </c>
      <c r="K109" s="8">
        <f>_xlfn.XLOOKUP($A109,Sheet3!$B:$B,Sheet3!I:I)</f>
        <v>40</v>
      </c>
      <c r="L109" s="8">
        <f>_xlfn.XLOOKUP($A109,Sheet3!$B:$B,Sheet3!J:J)</f>
        <v>40</v>
      </c>
      <c r="M109" s="8">
        <f>_xlfn.XLOOKUP($A109,Sheet4!$B:$B,Sheet4!H:H)</f>
        <v>100</v>
      </c>
      <c r="N109" s="8">
        <f>_xlfn.XLOOKUP($A109,Sheet4!$B:$B,Sheet4!I:I)</f>
        <v>0</v>
      </c>
      <c r="O109" s="9">
        <f>_xlfn.XLOOKUP($A109,Sheet4!$B:$B,Sheet4!J:J)</f>
        <v>0</v>
      </c>
      <c r="P109" s="8">
        <f>_xlfn.XLOOKUP($A109,Sheet5!$B:$B,Sheet5!H:H)</f>
        <v>100</v>
      </c>
      <c r="Q109" s="8">
        <f>_xlfn.XLOOKUP($A109,Sheet5!$B:$B,Sheet5!I:I)</f>
        <v>0</v>
      </c>
      <c r="R109" s="8">
        <f>_xlfn.XLOOKUP($A109,Sheet5!$B:$B,Sheet5!J:J)</f>
        <v>0</v>
      </c>
      <c r="S109" s="8">
        <f>_xlfn.XLOOKUP($A109,Sheet6!$B:$B,Sheet6!H:H)</f>
        <v>100</v>
      </c>
      <c r="T109" s="8">
        <f>_xlfn.XLOOKUP($A109,Sheet6!$B:$B,Sheet6!I:I)</f>
        <v>60</v>
      </c>
      <c r="U109" s="9">
        <f>_xlfn.XLOOKUP($A109,Sheet6!$B:$B,Sheet6!J:J)</f>
        <v>24</v>
      </c>
      <c r="V109" s="8">
        <f>_xlfn.XLOOKUP($A109,Sheet7!$B:$B,Sheet7!H:H)</f>
        <v>100</v>
      </c>
      <c r="W109" s="8">
        <f>_xlfn.XLOOKUP($A109,Sheet7!$B:$B,Sheet7!I:I)</f>
        <v>0</v>
      </c>
      <c r="X109" s="8">
        <f>_xlfn.XLOOKUP($A109,Sheet7!$B:$B,Sheet7!J:J)</f>
        <v>10</v>
      </c>
      <c r="Y109" s="8">
        <f>_xlfn.XLOOKUP($A109,Sheet8!$B:$B,Sheet8!H:H)</f>
        <v>100</v>
      </c>
      <c r="Z109" s="8">
        <f>_xlfn.XLOOKUP($A109,Sheet8!$B:$B,Sheet8!I:I)</f>
        <v>0</v>
      </c>
      <c r="AA109" s="9">
        <f>_xlfn.XLOOKUP($A109,Sheet8!$B:$B,Sheet8!J:J)</f>
        <v>0</v>
      </c>
      <c r="AB109" s="6">
        <f>_xlfn.XLOOKUP($A109,Sheet1!$B:$B,Sheet1!G:G,0)+_xlfn.XLOOKUP($A109,Sheet2!$B:$B,Sheet2!G:G,0)</f>
        <v>144</v>
      </c>
      <c r="AC109" s="6">
        <f>_xlfn.XLOOKUP($A109,Sheet3!$B:$B,Sheet3!G:G,0)+_xlfn.XLOOKUP($A109,Sheet4!$B:$B,Sheet4!G:G,0)</f>
        <v>280</v>
      </c>
      <c r="AD109" s="6">
        <f>_xlfn.XLOOKUP($A109,Sheet5!$B:$B,Sheet5!G:G,0)+_xlfn.XLOOKUP($A109,Sheet6!$B:$B,Sheet6!G:G,0)</f>
        <v>284</v>
      </c>
      <c r="AE109" s="6">
        <f>_xlfn.XLOOKUP($A109,Sheet7!$B:$B,Sheet7!G:G,0)+_xlfn.XLOOKUP($A109,Sheet8!$B:$B,Sheet8!G:G,0)</f>
        <v>210</v>
      </c>
      <c r="AF109" s="6" cm="1">
        <f t="array" ref="AF109">SUM(IFERROR(AB109:AE109,0))</f>
        <v>918</v>
      </c>
      <c r="AG109" s="6">
        <f t="shared" si="1"/>
        <v>106</v>
      </c>
    </row>
    <row r="110" spans="1:33" ht="15.6" x14ac:dyDescent="0.3">
      <c r="A110" s="6" t="s">
        <v>453</v>
      </c>
      <c r="B110" s="6" t="str">
        <f>_xlfn.XLOOKUP($A110,Sheet3!$B:$B,Sheet3!D:D)</f>
        <v>广州大学附属中学</v>
      </c>
      <c r="C110" s="7" t="str">
        <f>_xlfn.XLOOKUP($A110,Sheet3!$B:$B,Sheet3!E:E)</f>
        <v>梁博文</v>
      </c>
      <c r="D110" s="6">
        <f>_xlfn.XLOOKUP($A110,Sheet1!$B:$B,Sheet1!H:H)</f>
        <v>24</v>
      </c>
      <c r="E110" s="6">
        <f>_xlfn.XLOOKUP($A110,Sheet1!$B:$B,Sheet1!I:I)</f>
        <v>0</v>
      </c>
      <c r="F110" s="6">
        <f>_xlfn.XLOOKUP($A110,Sheet1!$B:$B,Sheet1!J:J)</f>
        <v>0</v>
      </c>
      <c r="G110" s="6">
        <f>_xlfn.XLOOKUP($A110,Sheet2!$B:$B,Sheet2!H:H)</f>
        <v>35</v>
      </c>
      <c r="H110" s="6">
        <f>_xlfn.XLOOKUP($A110,Sheet2!$B:$B,Sheet2!I:I)</f>
        <v>56</v>
      </c>
      <c r="I110" s="7">
        <f>_xlfn.XLOOKUP($A110,Sheet2!$B:$B,Sheet2!J:J)</f>
        <v>12</v>
      </c>
      <c r="J110" s="8">
        <f>_xlfn.XLOOKUP($A110,Sheet3!$B:$B,Sheet3!H:H)</f>
        <v>100</v>
      </c>
      <c r="K110" s="8">
        <f>_xlfn.XLOOKUP($A110,Sheet3!$B:$B,Sheet3!I:I)</f>
        <v>40</v>
      </c>
      <c r="L110" s="8">
        <f>_xlfn.XLOOKUP($A110,Sheet3!$B:$B,Sheet3!J:J)</f>
        <v>40</v>
      </c>
      <c r="M110" s="8">
        <f>_xlfn.XLOOKUP($A110,Sheet4!$B:$B,Sheet4!H:H)</f>
        <v>100</v>
      </c>
      <c r="N110" s="8">
        <f>_xlfn.XLOOKUP($A110,Sheet4!$B:$B,Sheet4!I:I)</f>
        <v>0</v>
      </c>
      <c r="O110" s="9">
        <f>_xlfn.XLOOKUP($A110,Sheet4!$B:$B,Sheet4!J:J)</f>
        <v>1</v>
      </c>
      <c r="P110" s="8">
        <f>_xlfn.XLOOKUP($A110,Sheet5!$B:$B,Sheet5!H:H)</f>
        <v>100</v>
      </c>
      <c r="Q110" s="8">
        <f>_xlfn.XLOOKUP($A110,Sheet5!$B:$B,Sheet5!I:I)</f>
        <v>32</v>
      </c>
      <c r="R110" s="8">
        <f>_xlfn.XLOOKUP($A110,Sheet5!$B:$B,Sheet5!J:J)</f>
        <v>0</v>
      </c>
      <c r="S110" s="8">
        <f>_xlfn.XLOOKUP($A110,Sheet6!$B:$B,Sheet6!H:H)</f>
        <v>100</v>
      </c>
      <c r="T110" s="8">
        <f>_xlfn.XLOOKUP($A110,Sheet6!$B:$B,Sheet6!I:I)</f>
        <v>44</v>
      </c>
      <c r="U110" s="9">
        <f>_xlfn.XLOOKUP($A110,Sheet6!$B:$B,Sheet6!J:J)</f>
        <v>20</v>
      </c>
      <c r="V110" s="8">
        <f>_xlfn.XLOOKUP($A110,Sheet7!$B:$B,Sheet7!H:H)</f>
        <v>100</v>
      </c>
      <c r="W110" s="8">
        <f>_xlfn.XLOOKUP($A110,Sheet7!$B:$B,Sheet7!I:I)</f>
        <v>0</v>
      </c>
      <c r="X110" s="8">
        <f>_xlfn.XLOOKUP($A110,Sheet7!$B:$B,Sheet7!J:J)</f>
        <v>0</v>
      </c>
      <c r="Y110" s="8">
        <f>_xlfn.XLOOKUP($A110,Sheet8!$B:$B,Sheet8!H:H)</f>
        <v>100</v>
      </c>
      <c r="Z110" s="8">
        <f>_xlfn.XLOOKUP($A110,Sheet8!$B:$B,Sheet8!I:I)</f>
        <v>0</v>
      </c>
      <c r="AA110" s="9">
        <f>_xlfn.XLOOKUP($A110,Sheet8!$B:$B,Sheet8!J:J)</f>
        <v>0</v>
      </c>
      <c r="AB110" s="6">
        <f>_xlfn.XLOOKUP($A110,Sheet1!$B:$B,Sheet1!G:G,0)+_xlfn.XLOOKUP($A110,Sheet2!$B:$B,Sheet2!G:G,0)</f>
        <v>127</v>
      </c>
      <c r="AC110" s="6">
        <f>_xlfn.XLOOKUP($A110,Sheet3!$B:$B,Sheet3!G:G,0)+_xlfn.XLOOKUP($A110,Sheet4!$B:$B,Sheet4!G:G,0)</f>
        <v>281</v>
      </c>
      <c r="AD110" s="6">
        <f>_xlfn.XLOOKUP($A110,Sheet5!$B:$B,Sheet5!G:G,0)+_xlfn.XLOOKUP($A110,Sheet6!$B:$B,Sheet6!G:G,0)</f>
        <v>296</v>
      </c>
      <c r="AE110" s="6">
        <f>_xlfn.XLOOKUP($A110,Sheet7!$B:$B,Sheet7!G:G,0)+_xlfn.XLOOKUP($A110,Sheet8!$B:$B,Sheet8!G:G,0)</f>
        <v>200</v>
      </c>
      <c r="AF110" s="6" cm="1">
        <f t="array" ref="AF110">SUM(IFERROR(AB110:AE110,0))</f>
        <v>904</v>
      </c>
      <c r="AG110" s="6">
        <f t="shared" si="1"/>
        <v>107</v>
      </c>
    </row>
    <row r="111" spans="1:33" ht="15.6" x14ac:dyDescent="0.3">
      <c r="A111" s="6" t="s">
        <v>526</v>
      </c>
      <c r="B111" s="6" t="str">
        <f>_xlfn.XLOOKUP($A111,Sheet3!$B:$B,Sheet3!D:D)</f>
        <v>广州大学附属中学</v>
      </c>
      <c r="C111" s="7" t="str">
        <f>_xlfn.XLOOKUP($A111,Sheet3!$B:$B,Sheet3!E:E)</f>
        <v>肖博文</v>
      </c>
      <c r="D111" s="6">
        <f>_xlfn.XLOOKUP($A111,Sheet1!$B:$B,Sheet1!H:H)</f>
        <v>0</v>
      </c>
      <c r="E111" s="6">
        <f>_xlfn.XLOOKUP($A111,Sheet1!$B:$B,Sheet1!I:I)</f>
        <v>0</v>
      </c>
      <c r="F111" s="6">
        <f>_xlfn.XLOOKUP($A111,Sheet1!$B:$B,Sheet1!J:J)</f>
        <v>0</v>
      </c>
      <c r="G111" s="6">
        <f>_xlfn.XLOOKUP($A111,Sheet2!$B:$B,Sheet2!H:H)</f>
        <v>100</v>
      </c>
      <c r="H111" s="6">
        <f>_xlfn.XLOOKUP($A111,Sheet2!$B:$B,Sheet2!I:I)</f>
        <v>32</v>
      </c>
      <c r="I111" s="7">
        <f>_xlfn.XLOOKUP($A111,Sheet2!$B:$B,Sheet2!J:J)</f>
        <v>12</v>
      </c>
      <c r="J111" s="8">
        <f>_xlfn.XLOOKUP($A111,Sheet3!$B:$B,Sheet3!H:H)</f>
        <v>100</v>
      </c>
      <c r="K111" s="8">
        <f>_xlfn.XLOOKUP($A111,Sheet3!$B:$B,Sheet3!I:I)</f>
        <v>0</v>
      </c>
      <c r="L111" s="8">
        <f>_xlfn.XLOOKUP($A111,Sheet3!$B:$B,Sheet3!J:J)</f>
        <v>0</v>
      </c>
      <c r="M111" s="8">
        <f>_xlfn.XLOOKUP($A111,Sheet4!$B:$B,Sheet4!H:H)</f>
        <v>100</v>
      </c>
      <c r="N111" s="8">
        <f>_xlfn.XLOOKUP($A111,Sheet4!$B:$B,Sheet4!I:I)</f>
        <v>0</v>
      </c>
      <c r="O111" s="9">
        <f>_xlfn.XLOOKUP($A111,Sheet4!$B:$B,Sheet4!J:J)</f>
        <v>5</v>
      </c>
      <c r="P111" s="8">
        <f>_xlfn.XLOOKUP($A111,Sheet5!$B:$B,Sheet5!H:H)</f>
        <v>100</v>
      </c>
      <c r="Q111" s="8">
        <f>_xlfn.XLOOKUP($A111,Sheet5!$B:$B,Sheet5!I:I)</f>
        <v>32</v>
      </c>
      <c r="R111" s="8">
        <f>_xlfn.XLOOKUP($A111,Sheet5!$B:$B,Sheet5!J:J)</f>
        <v>0</v>
      </c>
      <c r="S111" s="8">
        <f>_xlfn.XLOOKUP($A111,Sheet6!$B:$B,Sheet6!H:H)</f>
        <v>100</v>
      </c>
      <c r="T111" s="8">
        <f>_xlfn.XLOOKUP($A111,Sheet6!$B:$B,Sheet6!I:I)</f>
        <v>36</v>
      </c>
      <c r="U111" s="9">
        <f>_xlfn.XLOOKUP($A111,Sheet6!$B:$B,Sheet6!J:J)</f>
        <v>36</v>
      </c>
      <c r="V111" s="8">
        <f>_xlfn.XLOOKUP($A111,Sheet7!$B:$B,Sheet7!H:H)</f>
        <v>100</v>
      </c>
      <c r="W111" s="8">
        <f>_xlfn.XLOOKUP($A111,Sheet7!$B:$B,Sheet7!I:I)</f>
        <v>0</v>
      </c>
      <c r="X111" s="8">
        <f>_xlfn.XLOOKUP($A111,Sheet7!$B:$B,Sheet7!J:J)</f>
        <v>14</v>
      </c>
      <c r="Y111" s="8">
        <f>_xlfn.XLOOKUP($A111,Sheet8!$B:$B,Sheet8!H:H)</f>
        <v>100</v>
      </c>
      <c r="Z111" s="8">
        <f>_xlfn.XLOOKUP($A111,Sheet8!$B:$B,Sheet8!I:I)</f>
        <v>0</v>
      </c>
      <c r="AA111" s="9">
        <f>_xlfn.XLOOKUP($A111,Sheet8!$B:$B,Sheet8!J:J)</f>
        <v>35</v>
      </c>
      <c r="AB111" s="6">
        <f>_xlfn.XLOOKUP($A111,Sheet1!$B:$B,Sheet1!G:G,0)+_xlfn.XLOOKUP($A111,Sheet2!$B:$B,Sheet2!G:G,0)</f>
        <v>144</v>
      </c>
      <c r="AC111" s="6">
        <f>_xlfn.XLOOKUP($A111,Sheet3!$B:$B,Sheet3!G:G,0)+_xlfn.XLOOKUP($A111,Sheet4!$B:$B,Sheet4!G:G,0)</f>
        <v>205</v>
      </c>
      <c r="AD111" s="6">
        <f>_xlfn.XLOOKUP($A111,Sheet5!$B:$B,Sheet5!G:G,0)+_xlfn.XLOOKUP($A111,Sheet6!$B:$B,Sheet6!G:G,0)</f>
        <v>304</v>
      </c>
      <c r="AE111" s="6">
        <f>_xlfn.XLOOKUP($A111,Sheet7!$B:$B,Sheet7!G:G,0)+_xlfn.XLOOKUP($A111,Sheet8!$B:$B,Sheet8!G:G,0)</f>
        <v>249</v>
      </c>
      <c r="AF111" s="6" cm="1">
        <f t="array" ref="AF111">SUM(IFERROR(AB111:AE111,0))</f>
        <v>902</v>
      </c>
      <c r="AG111" s="6">
        <f t="shared" si="1"/>
        <v>108</v>
      </c>
    </row>
    <row r="112" spans="1:33" ht="15.6" x14ac:dyDescent="0.3">
      <c r="A112" s="6" t="s">
        <v>357</v>
      </c>
      <c r="B112" s="6" t="str">
        <f>_xlfn.XLOOKUP($A112,Sheet3!$B:$B,Sheet3!D:D)</f>
        <v>成都外国语学校</v>
      </c>
      <c r="C112" s="7" t="str">
        <f>_xlfn.XLOOKUP($A112,Sheet3!$B:$B,Sheet3!E:E)</f>
        <v>马周</v>
      </c>
      <c r="D112" s="6">
        <f>_xlfn.XLOOKUP($A112,Sheet1!$B:$B,Sheet1!H:H)</f>
        <v>24</v>
      </c>
      <c r="E112" s="6">
        <f>_xlfn.XLOOKUP($A112,Sheet1!$B:$B,Sheet1!I:I)</f>
        <v>0</v>
      </c>
      <c r="F112" s="6">
        <f>_xlfn.XLOOKUP($A112,Sheet1!$B:$B,Sheet1!J:J)</f>
        <v>16</v>
      </c>
      <c r="G112" s="6">
        <f>_xlfn.XLOOKUP($A112,Sheet2!$B:$B,Sheet2!H:H)</f>
        <v>25</v>
      </c>
      <c r="H112" s="6">
        <f>_xlfn.XLOOKUP($A112,Sheet2!$B:$B,Sheet2!I:I)</f>
        <v>0</v>
      </c>
      <c r="I112" s="7">
        <f>_xlfn.XLOOKUP($A112,Sheet2!$B:$B,Sheet2!J:J)</f>
        <v>0</v>
      </c>
      <c r="J112" s="8">
        <f>_xlfn.XLOOKUP($A112,Sheet3!$B:$B,Sheet3!H:H)</f>
        <v>100</v>
      </c>
      <c r="K112" s="8">
        <f>_xlfn.XLOOKUP($A112,Sheet3!$B:$B,Sheet3!I:I)</f>
        <v>60</v>
      </c>
      <c r="L112" s="8">
        <f>_xlfn.XLOOKUP($A112,Sheet3!$B:$B,Sheet3!J:J)</f>
        <v>40</v>
      </c>
      <c r="M112" s="8">
        <f>_xlfn.XLOOKUP($A112,Sheet4!$B:$B,Sheet4!H:H)</f>
        <v>100</v>
      </c>
      <c r="N112" s="8">
        <f>_xlfn.XLOOKUP($A112,Sheet4!$B:$B,Sheet4!I:I)</f>
        <v>11</v>
      </c>
      <c r="O112" s="9">
        <f>_xlfn.XLOOKUP($A112,Sheet4!$B:$B,Sheet4!J:J)</f>
        <v>1</v>
      </c>
      <c r="P112" s="8">
        <f>_xlfn.XLOOKUP($A112,Sheet5!$B:$B,Sheet5!H:H)</f>
        <v>100</v>
      </c>
      <c r="Q112" s="8">
        <f>_xlfn.XLOOKUP($A112,Sheet5!$B:$B,Sheet5!I:I)</f>
        <v>32</v>
      </c>
      <c r="R112" s="8">
        <f>_xlfn.XLOOKUP($A112,Sheet5!$B:$B,Sheet5!J:J)</f>
        <v>0</v>
      </c>
      <c r="S112" s="8">
        <f>_xlfn.XLOOKUP($A112,Sheet6!$B:$B,Sheet6!H:H)</f>
        <v>100</v>
      </c>
      <c r="T112" s="8">
        <f>_xlfn.XLOOKUP($A112,Sheet6!$B:$B,Sheet6!I:I)</f>
        <v>100</v>
      </c>
      <c r="U112" s="9">
        <f>_xlfn.XLOOKUP($A112,Sheet6!$B:$B,Sheet6!J:J)</f>
        <v>40</v>
      </c>
      <c r="V112" s="8">
        <f>_xlfn.XLOOKUP($A112,Sheet7!$B:$B,Sheet7!H:H)</f>
        <v>50</v>
      </c>
      <c r="W112" s="8">
        <f>_xlfn.XLOOKUP($A112,Sheet7!$B:$B,Sheet7!I:I)</f>
        <v>0</v>
      </c>
      <c r="X112" s="8">
        <f>_xlfn.XLOOKUP($A112,Sheet7!$B:$B,Sheet7!J:J)</f>
        <v>0</v>
      </c>
      <c r="Y112" s="8">
        <f>_xlfn.XLOOKUP($A112,Sheet8!$B:$B,Sheet8!H:H)</f>
        <v>100</v>
      </c>
      <c r="Z112" s="8">
        <f>_xlfn.XLOOKUP($A112,Sheet8!$B:$B,Sheet8!I:I)</f>
        <v>0</v>
      </c>
      <c r="AA112" s="9">
        <f>_xlfn.XLOOKUP($A112,Sheet8!$B:$B,Sheet8!J:J)</f>
        <v>0</v>
      </c>
      <c r="AB112" s="6">
        <f>_xlfn.XLOOKUP($A112,Sheet1!$B:$B,Sheet1!G:G,0)+_xlfn.XLOOKUP($A112,Sheet2!$B:$B,Sheet2!G:G,0)</f>
        <v>65</v>
      </c>
      <c r="AC112" s="6">
        <f>_xlfn.XLOOKUP($A112,Sheet3!$B:$B,Sheet3!G:G,0)+_xlfn.XLOOKUP($A112,Sheet4!$B:$B,Sheet4!G:G,0)</f>
        <v>312</v>
      </c>
      <c r="AD112" s="6">
        <f>_xlfn.XLOOKUP($A112,Sheet5!$B:$B,Sheet5!G:G,0)+_xlfn.XLOOKUP($A112,Sheet6!$B:$B,Sheet6!G:G,0)</f>
        <v>372</v>
      </c>
      <c r="AE112" s="6">
        <f>_xlfn.XLOOKUP($A112,Sheet7!$B:$B,Sheet7!G:G,0)+_xlfn.XLOOKUP($A112,Sheet8!$B:$B,Sheet8!G:G,0)</f>
        <v>150</v>
      </c>
      <c r="AF112" s="6" cm="1">
        <f t="array" ref="AF112">SUM(IFERROR(AB112:AE112,0))</f>
        <v>899</v>
      </c>
      <c r="AG112" s="6">
        <f t="shared" si="1"/>
        <v>109</v>
      </c>
    </row>
    <row r="113" spans="1:33" ht="15.6" x14ac:dyDescent="0.3">
      <c r="A113" s="6" t="s">
        <v>371</v>
      </c>
      <c r="B113" s="6" t="str">
        <f>_xlfn.XLOOKUP($A113,Sheet3!$B:$B,Sheet3!D:D)</f>
        <v>中山市中山纪念中学</v>
      </c>
      <c r="C113" s="7" t="str">
        <f>_xlfn.XLOOKUP($A113,Sheet3!$B:$B,Sheet3!E:E)</f>
        <v>叶荣添</v>
      </c>
      <c r="D113" s="6">
        <f>_xlfn.XLOOKUP($A113,Sheet1!$B:$B,Sheet1!H:H)</f>
        <v>24</v>
      </c>
      <c r="E113" s="6">
        <f>_xlfn.XLOOKUP($A113,Sheet1!$B:$B,Sheet1!I:I)</f>
        <v>0</v>
      </c>
      <c r="F113" s="6">
        <f>_xlfn.XLOOKUP($A113,Sheet1!$B:$B,Sheet1!J:J)</f>
        <v>7</v>
      </c>
      <c r="G113" s="6">
        <f>_xlfn.XLOOKUP($A113,Sheet2!$B:$B,Sheet2!H:H)</f>
        <v>100</v>
      </c>
      <c r="H113" s="6">
        <f>_xlfn.XLOOKUP($A113,Sheet2!$B:$B,Sheet2!I:I)</f>
        <v>32</v>
      </c>
      <c r="I113" s="7">
        <f>_xlfn.XLOOKUP($A113,Sheet2!$B:$B,Sheet2!J:J)</f>
        <v>15</v>
      </c>
      <c r="J113" s="8">
        <f>_xlfn.XLOOKUP($A113,Sheet3!$B:$B,Sheet3!H:H)</f>
        <v>100</v>
      </c>
      <c r="K113" s="8">
        <f>_xlfn.XLOOKUP($A113,Sheet3!$B:$B,Sheet3!I:I)</f>
        <v>40</v>
      </c>
      <c r="L113" s="8">
        <f>_xlfn.XLOOKUP($A113,Sheet3!$B:$B,Sheet3!J:J)</f>
        <v>40</v>
      </c>
      <c r="M113" s="8">
        <f>_xlfn.XLOOKUP($A113,Sheet4!$B:$B,Sheet4!H:H)</f>
        <v>50</v>
      </c>
      <c r="N113" s="8">
        <f>_xlfn.XLOOKUP($A113,Sheet4!$B:$B,Sheet4!I:I)</f>
        <v>0</v>
      </c>
      <c r="O113" s="9">
        <f>_xlfn.XLOOKUP($A113,Sheet4!$B:$B,Sheet4!J:J)</f>
        <v>1</v>
      </c>
      <c r="P113" s="8">
        <f>_xlfn.XLOOKUP($A113,Sheet5!$B:$B,Sheet5!H:H)</f>
        <v>100</v>
      </c>
      <c r="Q113" s="8">
        <f>_xlfn.XLOOKUP($A113,Sheet5!$B:$B,Sheet5!I:I)</f>
        <v>32</v>
      </c>
      <c r="R113" s="8">
        <f>_xlfn.XLOOKUP($A113,Sheet5!$B:$B,Sheet5!J:J)</f>
        <v>30</v>
      </c>
      <c r="S113" s="8">
        <f>_xlfn.XLOOKUP($A113,Sheet6!$B:$B,Sheet6!H:H)</f>
        <v>100</v>
      </c>
      <c r="T113" s="8">
        <f>_xlfn.XLOOKUP($A113,Sheet6!$B:$B,Sheet6!I:I)</f>
        <v>8</v>
      </c>
      <c r="U113" s="9">
        <f>_xlfn.XLOOKUP($A113,Sheet6!$B:$B,Sheet6!J:J)</f>
        <v>0</v>
      </c>
      <c r="V113" s="8">
        <f>_xlfn.XLOOKUP($A113,Sheet7!$B:$B,Sheet7!H:H)</f>
        <v>100</v>
      </c>
      <c r="W113" s="8">
        <f>_xlfn.XLOOKUP($A113,Sheet7!$B:$B,Sheet7!I:I)</f>
        <v>0</v>
      </c>
      <c r="X113" s="8">
        <f>_xlfn.XLOOKUP($A113,Sheet7!$B:$B,Sheet7!J:J)</f>
        <v>16</v>
      </c>
      <c r="Y113" s="8">
        <f>_xlfn.XLOOKUP($A113,Sheet8!$B:$B,Sheet8!H:H)</f>
        <v>100</v>
      </c>
      <c r="Z113" s="8">
        <f>_xlfn.XLOOKUP($A113,Sheet8!$B:$B,Sheet8!I:I)</f>
        <v>0</v>
      </c>
      <c r="AA113" s="9">
        <f>_xlfn.XLOOKUP($A113,Sheet8!$B:$B,Sheet8!J:J)</f>
        <v>0</v>
      </c>
      <c r="AB113" s="6">
        <f>_xlfn.XLOOKUP($A113,Sheet1!$B:$B,Sheet1!G:G,0)+_xlfn.XLOOKUP($A113,Sheet2!$B:$B,Sheet2!G:G,0)</f>
        <v>178</v>
      </c>
      <c r="AC113" s="6">
        <f>_xlfn.XLOOKUP($A113,Sheet3!$B:$B,Sheet3!G:G,0)+_xlfn.XLOOKUP($A113,Sheet4!$B:$B,Sheet4!G:G,0)</f>
        <v>231</v>
      </c>
      <c r="AD113" s="6">
        <f>_xlfn.XLOOKUP($A113,Sheet5!$B:$B,Sheet5!G:G,0)+_xlfn.XLOOKUP($A113,Sheet6!$B:$B,Sheet6!G:G,0)</f>
        <v>270</v>
      </c>
      <c r="AE113" s="6">
        <f>_xlfn.XLOOKUP($A113,Sheet7!$B:$B,Sheet7!G:G,0)+_xlfn.XLOOKUP($A113,Sheet8!$B:$B,Sheet8!G:G,0)</f>
        <v>216</v>
      </c>
      <c r="AF113" s="6" cm="1">
        <f t="array" ref="AF113">SUM(IFERROR(AB113:AE113,0))</f>
        <v>895</v>
      </c>
      <c r="AG113" s="6">
        <f t="shared" si="1"/>
        <v>110</v>
      </c>
    </row>
    <row r="114" spans="1:33" ht="15.6" x14ac:dyDescent="0.3">
      <c r="A114" s="6" t="s">
        <v>459</v>
      </c>
      <c r="B114" s="6" t="str">
        <f>_xlfn.XLOOKUP($A114,Sheet3!$B:$B,Sheet3!D:D)</f>
        <v>陕西西北工业大学附属中学</v>
      </c>
      <c r="C114" s="7" t="str">
        <f>_xlfn.XLOOKUP($A114,Sheet3!$B:$B,Sheet3!E:E)</f>
        <v>杨浩基</v>
      </c>
      <c r="D114" s="6">
        <f>_xlfn.XLOOKUP($A114,Sheet1!$B:$B,Sheet1!H:H)</f>
        <v>24</v>
      </c>
      <c r="E114" s="6">
        <f>_xlfn.XLOOKUP($A114,Sheet1!$B:$B,Sheet1!I:I)</f>
        <v>0</v>
      </c>
      <c r="F114" s="6">
        <f>_xlfn.XLOOKUP($A114,Sheet1!$B:$B,Sheet1!J:J)</f>
        <v>0</v>
      </c>
      <c r="G114" s="6">
        <f>_xlfn.XLOOKUP($A114,Sheet2!$B:$B,Sheet2!H:H)</f>
        <v>100</v>
      </c>
      <c r="H114" s="6">
        <f>_xlfn.XLOOKUP($A114,Sheet2!$B:$B,Sheet2!I:I)</f>
        <v>20</v>
      </c>
      <c r="I114" s="7">
        <f>_xlfn.XLOOKUP($A114,Sheet2!$B:$B,Sheet2!J:J)</f>
        <v>15</v>
      </c>
      <c r="J114" s="8">
        <f>_xlfn.XLOOKUP($A114,Sheet3!$B:$B,Sheet3!H:H)</f>
        <v>78</v>
      </c>
      <c r="K114" s="8">
        <f>_xlfn.XLOOKUP($A114,Sheet3!$B:$B,Sheet3!I:I)</f>
        <v>20</v>
      </c>
      <c r="L114" s="8">
        <f>_xlfn.XLOOKUP($A114,Sheet3!$B:$B,Sheet3!J:J)</f>
        <v>20</v>
      </c>
      <c r="M114" s="8">
        <f>_xlfn.XLOOKUP($A114,Sheet4!$B:$B,Sheet4!H:H)</f>
        <v>100</v>
      </c>
      <c r="N114" s="8">
        <f>_xlfn.XLOOKUP($A114,Sheet4!$B:$B,Sheet4!I:I)</f>
        <v>10</v>
      </c>
      <c r="O114" s="9">
        <f>_xlfn.XLOOKUP($A114,Sheet4!$B:$B,Sheet4!J:J)</f>
        <v>0</v>
      </c>
      <c r="P114" s="8">
        <f>_xlfn.XLOOKUP($A114,Sheet5!$B:$B,Sheet5!H:H)</f>
        <v>35</v>
      </c>
      <c r="Q114" s="8">
        <f>_xlfn.XLOOKUP($A114,Sheet5!$B:$B,Sheet5!I:I)</f>
        <v>0</v>
      </c>
      <c r="R114" s="8">
        <f>_xlfn.XLOOKUP($A114,Sheet5!$B:$B,Sheet5!J:J)</f>
        <v>0</v>
      </c>
      <c r="S114" s="8">
        <f>_xlfn.XLOOKUP($A114,Sheet6!$B:$B,Sheet6!H:H)</f>
        <v>100</v>
      </c>
      <c r="T114" s="8">
        <f>_xlfn.XLOOKUP($A114,Sheet6!$B:$B,Sheet6!I:I)</f>
        <v>100</v>
      </c>
      <c r="U114" s="9">
        <f>_xlfn.XLOOKUP($A114,Sheet6!$B:$B,Sheet6!J:J)</f>
        <v>12</v>
      </c>
      <c r="V114" s="8">
        <f>_xlfn.XLOOKUP($A114,Sheet7!$B:$B,Sheet7!H:H)</f>
        <v>100</v>
      </c>
      <c r="W114" s="8">
        <f>_xlfn.XLOOKUP($A114,Sheet7!$B:$B,Sheet7!I:I)</f>
        <v>60</v>
      </c>
      <c r="X114" s="8">
        <f>_xlfn.XLOOKUP($A114,Sheet7!$B:$B,Sheet7!J:J)</f>
        <v>0</v>
      </c>
      <c r="Y114" s="8">
        <f>_xlfn.XLOOKUP($A114,Sheet8!$B:$B,Sheet8!H:H)</f>
        <v>100</v>
      </c>
      <c r="Z114" s="8">
        <f>_xlfn.XLOOKUP($A114,Sheet8!$B:$B,Sheet8!I:I)</f>
        <v>0</v>
      </c>
      <c r="AA114" s="9">
        <f>_xlfn.XLOOKUP($A114,Sheet8!$B:$B,Sheet8!J:J)</f>
        <v>0</v>
      </c>
      <c r="AB114" s="6">
        <f>_xlfn.XLOOKUP($A114,Sheet1!$B:$B,Sheet1!G:G,0)+_xlfn.XLOOKUP($A114,Sheet2!$B:$B,Sheet2!G:G,0)</f>
        <v>159</v>
      </c>
      <c r="AC114" s="6">
        <f>_xlfn.XLOOKUP($A114,Sheet3!$B:$B,Sheet3!G:G,0)+_xlfn.XLOOKUP($A114,Sheet4!$B:$B,Sheet4!G:G,0)</f>
        <v>228</v>
      </c>
      <c r="AD114" s="6">
        <f>_xlfn.XLOOKUP($A114,Sheet5!$B:$B,Sheet5!G:G,0)+_xlfn.XLOOKUP($A114,Sheet6!$B:$B,Sheet6!G:G,0)</f>
        <v>247</v>
      </c>
      <c r="AE114" s="6">
        <f>_xlfn.XLOOKUP($A114,Sheet7!$B:$B,Sheet7!G:G,0)+_xlfn.XLOOKUP($A114,Sheet8!$B:$B,Sheet8!G:G,0)</f>
        <v>260</v>
      </c>
      <c r="AF114" s="6" cm="1">
        <f t="array" ref="AF114">SUM(IFERROR(AB114:AE114,0))</f>
        <v>894</v>
      </c>
      <c r="AG114" s="6">
        <f t="shared" si="1"/>
        <v>111</v>
      </c>
    </row>
    <row r="115" spans="1:33" ht="15.6" x14ac:dyDescent="0.3">
      <c r="A115" s="6" t="s">
        <v>186</v>
      </c>
      <c r="B115" s="6" t="str">
        <f>_xlfn.XLOOKUP($A115,Sheet3!$B:$B,Sheet3!D:D)</f>
        <v>广州大学附属中学</v>
      </c>
      <c r="C115" s="7" t="str">
        <f>_xlfn.XLOOKUP($A115,Sheet3!$B:$B,Sheet3!E:E)</f>
        <v>杨金城</v>
      </c>
      <c r="D115" s="6">
        <f>_xlfn.XLOOKUP($A115,Sheet1!$B:$B,Sheet1!H:H)</f>
        <v>100</v>
      </c>
      <c r="E115" s="6">
        <f>_xlfn.XLOOKUP($A115,Sheet1!$B:$B,Sheet1!I:I)</f>
        <v>0</v>
      </c>
      <c r="F115" s="6">
        <f>_xlfn.XLOOKUP($A115,Sheet1!$B:$B,Sheet1!J:J)</f>
        <v>25</v>
      </c>
      <c r="G115" s="6">
        <f>_xlfn.XLOOKUP($A115,Sheet2!$B:$B,Sheet2!H:H)</f>
        <v>25</v>
      </c>
      <c r="H115" s="6">
        <f>_xlfn.XLOOKUP($A115,Sheet2!$B:$B,Sheet2!I:I)</f>
        <v>0</v>
      </c>
      <c r="I115" s="7">
        <f>_xlfn.XLOOKUP($A115,Sheet2!$B:$B,Sheet2!J:J)</f>
        <v>12</v>
      </c>
      <c r="J115" s="8">
        <f>_xlfn.XLOOKUP($A115,Sheet3!$B:$B,Sheet3!H:H)</f>
        <v>77</v>
      </c>
      <c r="K115" s="8">
        <f>_xlfn.XLOOKUP($A115,Sheet3!$B:$B,Sheet3!I:I)</f>
        <v>20</v>
      </c>
      <c r="L115" s="8">
        <f>_xlfn.XLOOKUP($A115,Sheet3!$B:$B,Sheet3!J:J)</f>
        <v>0</v>
      </c>
      <c r="M115" s="8">
        <f>_xlfn.XLOOKUP($A115,Sheet4!$B:$B,Sheet4!H:H)</f>
        <v>100</v>
      </c>
      <c r="N115" s="8">
        <f>_xlfn.XLOOKUP($A115,Sheet4!$B:$B,Sheet4!I:I)</f>
        <v>0</v>
      </c>
      <c r="O115" s="9">
        <f>_xlfn.XLOOKUP($A115,Sheet4!$B:$B,Sheet4!J:J)</f>
        <v>5</v>
      </c>
      <c r="P115" s="8">
        <f>_xlfn.XLOOKUP($A115,Sheet5!$B:$B,Sheet5!H:H)</f>
        <v>100</v>
      </c>
      <c r="Q115" s="8">
        <f>_xlfn.XLOOKUP($A115,Sheet5!$B:$B,Sheet5!I:I)</f>
        <v>32</v>
      </c>
      <c r="R115" s="8">
        <f>_xlfn.XLOOKUP($A115,Sheet5!$B:$B,Sheet5!J:J)</f>
        <v>10</v>
      </c>
      <c r="S115" s="8">
        <f>_xlfn.XLOOKUP($A115,Sheet6!$B:$B,Sheet6!H:H)</f>
        <v>100</v>
      </c>
      <c r="T115" s="8">
        <f>_xlfn.XLOOKUP($A115,Sheet6!$B:$B,Sheet6!I:I)</f>
        <v>36</v>
      </c>
      <c r="U115" s="9">
        <f>_xlfn.XLOOKUP($A115,Sheet6!$B:$B,Sheet6!J:J)</f>
        <v>24</v>
      </c>
      <c r="V115" s="8">
        <f>_xlfn.XLOOKUP($A115,Sheet7!$B:$B,Sheet7!H:H)</f>
        <v>100</v>
      </c>
      <c r="W115" s="8">
        <f>_xlfn.XLOOKUP($A115,Sheet7!$B:$B,Sheet7!I:I)</f>
        <v>10</v>
      </c>
      <c r="X115" s="8">
        <f>_xlfn.XLOOKUP($A115,Sheet7!$B:$B,Sheet7!J:J)</f>
        <v>14</v>
      </c>
      <c r="Y115" s="8">
        <f>_xlfn.XLOOKUP($A115,Sheet8!$B:$B,Sheet8!H:H)</f>
        <v>100</v>
      </c>
      <c r="Z115" s="8">
        <f>_xlfn.XLOOKUP($A115,Sheet8!$B:$B,Sheet8!I:I)</f>
        <v>0</v>
      </c>
      <c r="AA115" s="9">
        <f>_xlfn.XLOOKUP($A115,Sheet8!$B:$B,Sheet8!J:J)</f>
        <v>0</v>
      </c>
      <c r="AB115" s="6">
        <f>_xlfn.XLOOKUP($A115,Sheet1!$B:$B,Sheet1!G:G,0)+_xlfn.XLOOKUP($A115,Sheet2!$B:$B,Sheet2!G:G,0)</f>
        <v>162</v>
      </c>
      <c r="AC115" s="6">
        <f>_xlfn.XLOOKUP($A115,Sheet3!$B:$B,Sheet3!G:G,0)+_xlfn.XLOOKUP($A115,Sheet4!$B:$B,Sheet4!G:G,0)</f>
        <v>202</v>
      </c>
      <c r="AD115" s="6">
        <f>_xlfn.XLOOKUP($A115,Sheet5!$B:$B,Sheet5!G:G,0)+_xlfn.XLOOKUP($A115,Sheet6!$B:$B,Sheet6!G:G,0)</f>
        <v>302</v>
      </c>
      <c r="AE115" s="6">
        <f>_xlfn.XLOOKUP($A115,Sheet7!$B:$B,Sheet7!G:G,0)+_xlfn.XLOOKUP($A115,Sheet8!$B:$B,Sheet8!G:G,0)</f>
        <v>224</v>
      </c>
      <c r="AF115" s="6" cm="1">
        <f t="array" ref="AF115">SUM(IFERROR(AB115:AE115,0))</f>
        <v>890</v>
      </c>
      <c r="AG115" s="6">
        <f t="shared" si="1"/>
        <v>112</v>
      </c>
    </row>
    <row r="116" spans="1:33" ht="15.6" x14ac:dyDescent="0.3">
      <c r="A116" s="6" t="s">
        <v>307</v>
      </c>
      <c r="B116" s="6" t="str">
        <f>_xlfn.XLOOKUP($A116,Sheet3!$B:$B,Sheet3!D:D)</f>
        <v>西南大学附属中学校</v>
      </c>
      <c r="C116" s="7" t="str">
        <f>_xlfn.XLOOKUP($A116,Sheet3!$B:$B,Sheet3!E:E)</f>
        <v>刘佳恒</v>
      </c>
      <c r="D116" s="6">
        <f>_xlfn.XLOOKUP($A116,Sheet1!$B:$B,Sheet1!H:H)</f>
        <v>42</v>
      </c>
      <c r="E116" s="6">
        <f>_xlfn.XLOOKUP($A116,Sheet1!$B:$B,Sheet1!I:I)</f>
        <v>0</v>
      </c>
      <c r="F116" s="6">
        <f>_xlfn.XLOOKUP($A116,Sheet1!$B:$B,Sheet1!J:J)</f>
        <v>7</v>
      </c>
      <c r="G116" s="6">
        <f>_xlfn.XLOOKUP($A116,Sheet2!$B:$B,Sheet2!H:H)</f>
        <v>100</v>
      </c>
      <c r="H116" s="6">
        <f>_xlfn.XLOOKUP($A116,Sheet2!$B:$B,Sheet2!I:I)</f>
        <v>0</v>
      </c>
      <c r="I116" s="7">
        <f>_xlfn.XLOOKUP($A116,Sheet2!$B:$B,Sheet2!J:J)</f>
        <v>12</v>
      </c>
      <c r="J116" s="8">
        <f>_xlfn.XLOOKUP($A116,Sheet3!$B:$B,Sheet3!H:H)</f>
        <v>82</v>
      </c>
      <c r="K116" s="8">
        <f>_xlfn.XLOOKUP($A116,Sheet3!$B:$B,Sheet3!I:I)</f>
        <v>60</v>
      </c>
      <c r="L116" s="8">
        <f>_xlfn.XLOOKUP($A116,Sheet3!$B:$B,Sheet3!J:J)</f>
        <v>40</v>
      </c>
      <c r="M116" s="8">
        <f>_xlfn.XLOOKUP($A116,Sheet4!$B:$B,Sheet4!H:H)</f>
        <v>100</v>
      </c>
      <c r="N116" s="8">
        <f>_xlfn.XLOOKUP($A116,Sheet4!$B:$B,Sheet4!I:I)</f>
        <v>0</v>
      </c>
      <c r="O116" s="9">
        <f>_xlfn.XLOOKUP($A116,Sheet4!$B:$B,Sheet4!J:J)</f>
        <v>1</v>
      </c>
      <c r="P116" s="8">
        <f>_xlfn.XLOOKUP($A116,Sheet5!$B:$B,Sheet5!H:H)</f>
        <v>40</v>
      </c>
      <c r="Q116" s="8">
        <f>_xlfn.XLOOKUP($A116,Sheet5!$B:$B,Sheet5!I:I)</f>
        <v>32</v>
      </c>
      <c r="R116" s="8">
        <f>_xlfn.XLOOKUP($A116,Sheet5!$B:$B,Sheet5!J:J)</f>
        <v>0</v>
      </c>
      <c r="S116" s="8">
        <f>_xlfn.XLOOKUP($A116,Sheet6!$B:$B,Sheet6!H:H)</f>
        <v>100</v>
      </c>
      <c r="T116" s="8">
        <f>_xlfn.XLOOKUP($A116,Sheet6!$B:$B,Sheet6!I:I)</f>
        <v>60</v>
      </c>
      <c r="U116" s="9">
        <f>_xlfn.XLOOKUP($A116,Sheet6!$B:$B,Sheet6!J:J)</f>
        <v>40</v>
      </c>
      <c r="V116" s="8">
        <f>_xlfn.XLOOKUP($A116,Sheet7!$B:$B,Sheet7!H:H)</f>
        <v>30</v>
      </c>
      <c r="W116" s="8">
        <f>_xlfn.XLOOKUP($A116,Sheet7!$B:$B,Sheet7!I:I)</f>
        <v>0</v>
      </c>
      <c r="X116" s="8">
        <f>_xlfn.XLOOKUP($A116,Sheet7!$B:$B,Sheet7!J:J)</f>
        <v>14</v>
      </c>
      <c r="Y116" s="8">
        <f>_xlfn.XLOOKUP($A116,Sheet8!$B:$B,Sheet8!H:H)</f>
        <v>100</v>
      </c>
      <c r="Z116" s="8">
        <f>_xlfn.XLOOKUP($A116,Sheet8!$B:$B,Sheet8!I:I)</f>
        <v>0</v>
      </c>
      <c r="AA116" s="9">
        <f>_xlfn.XLOOKUP($A116,Sheet8!$B:$B,Sheet8!J:J)</f>
        <v>25</v>
      </c>
      <c r="AB116" s="6">
        <f>_xlfn.XLOOKUP($A116,Sheet1!$B:$B,Sheet1!G:G,0)+_xlfn.XLOOKUP($A116,Sheet2!$B:$B,Sheet2!G:G,0)</f>
        <v>161</v>
      </c>
      <c r="AC116" s="6">
        <f>_xlfn.XLOOKUP($A116,Sheet3!$B:$B,Sheet3!G:G,0)+_xlfn.XLOOKUP($A116,Sheet4!$B:$B,Sheet4!G:G,0)</f>
        <v>283</v>
      </c>
      <c r="AD116" s="6">
        <f>_xlfn.XLOOKUP($A116,Sheet5!$B:$B,Sheet5!G:G,0)+_xlfn.XLOOKUP($A116,Sheet6!$B:$B,Sheet6!G:G,0)</f>
        <v>272</v>
      </c>
      <c r="AE116" s="6">
        <f>_xlfn.XLOOKUP($A116,Sheet7!$B:$B,Sheet7!G:G,0)+_xlfn.XLOOKUP($A116,Sheet8!$B:$B,Sheet8!G:G,0)</f>
        <v>169</v>
      </c>
      <c r="AF116" s="6" cm="1">
        <f t="array" ref="AF116">SUM(IFERROR(AB116:AE116,0))</f>
        <v>885</v>
      </c>
      <c r="AG116" s="6">
        <f t="shared" si="1"/>
        <v>113</v>
      </c>
    </row>
    <row r="117" spans="1:33" ht="15.6" x14ac:dyDescent="0.3">
      <c r="A117" s="6" t="s">
        <v>367</v>
      </c>
      <c r="B117" s="6" t="str">
        <f>_xlfn.XLOOKUP($A117,Sheet3!$B:$B,Sheet3!D:D)</f>
        <v>深圳北理莫斯科大学附属实验中学</v>
      </c>
      <c r="C117" s="7" t="str">
        <f>_xlfn.XLOOKUP($A117,Sheet3!$B:$B,Sheet3!E:E)</f>
        <v>李泽鸿</v>
      </c>
      <c r="D117" s="6">
        <f>_xlfn.XLOOKUP($A117,Sheet1!$B:$B,Sheet1!H:H)</f>
        <v>24</v>
      </c>
      <c r="E117" s="6">
        <f>_xlfn.XLOOKUP($A117,Sheet1!$B:$B,Sheet1!I:I)</f>
        <v>0</v>
      </c>
      <c r="F117" s="6">
        <f>_xlfn.XLOOKUP($A117,Sheet1!$B:$B,Sheet1!J:J)</f>
        <v>7</v>
      </c>
      <c r="G117" s="6">
        <f>_xlfn.XLOOKUP($A117,Sheet2!$B:$B,Sheet2!H:H)</f>
        <v>100</v>
      </c>
      <c r="H117" s="6">
        <f>_xlfn.XLOOKUP($A117,Sheet2!$B:$B,Sheet2!I:I)</f>
        <v>44</v>
      </c>
      <c r="I117" s="7">
        <f>_xlfn.XLOOKUP($A117,Sheet2!$B:$B,Sheet2!J:J)</f>
        <v>21</v>
      </c>
      <c r="J117" s="8">
        <f>_xlfn.XLOOKUP($A117,Sheet3!$B:$B,Sheet3!H:H)</f>
        <v>100</v>
      </c>
      <c r="K117" s="8">
        <f>_xlfn.XLOOKUP($A117,Sheet3!$B:$B,Sheet3!I:I)</f>
        <v>40</v>
      </c>
      <c r="L117" s="8">
        <f>_xlfn.XLOOKUP($A117,Sheet3!$B:$B,Sheet3!J:J)</f>
        <v>40</v>
      </c>
      <c r="M117" s="8">
        <f>_xlfn.XLOOKUP($A117,Sheet4!$B:$B,Sheet4!H:H)</f>
        <v>60</v>
      </c>
      <c r="N117" s="8">
        <f>_xlfn.XLOOKUP($A117,Sheet4!$B:$B,Sheet4!I:I)</f>
        <v>0</v>
      </c>
      <c r="O117" s="9">
        <f>_xlfn.XLOOKUP($A117,Sheet4!$B:$B,Sheet4!J:J)</f>
        <v>5</v>
      </c>
      <c r="P117" s="8">
        <f>_xlfn.XLOOKUP($A117,Sheet5!$B:$B,Sheet5!H:H)</f>
        <v>100</v>
      </c>
      <c r="Q117" s="8">
        <f>_xlfn.XLOOKUP($A117,Sheet5!$B:$B,Sheet5!I:I)</f>
        <v>48</v>
      </c>
      <c r="R117" s="8">
        <f>_xlfn.XLOOKUP($A117,Sheet5!$B:$B,Sheet5!J:J)</f>
        <v>0</v>
      </c>
      <c r="S117" s="8">
        <f>_xlfn.XLOOKUP($A117,Sheet6!$B:$B,Sheet6!H:H)</f>
        <v>100</v>
      </c>
      <c r="T117" s="8">
        <f>_xlfn.XLOOKUP($A117,Sheet6!$B:$B,Sheet6!I:I)</f>
        <v>52</v>
      </c>
      <c r="U117" s="9">
        <f>_xlfn.XLOOKUP($A117,Sheet6!$B:$B,Sheet6!J:J)</f>
        <v>16</v>
      </c>
      <c r="V117" s="8">
        <f>_xlfn.XLOOKUP($A117,Sheet7!$B:$B,Sheet7!H:H)</f>
        <v>100</v>
      </c>
      <c r="W117" s="8">
        <f>_xlfn.XLOOKUP($A117,Sheet7!$B:$B,Sheet7!I:I)</f>
        <v>10</v>
      </c>
      <c r="X117" s="8">
        <f>_xlfn.XLOOKUP($A117,Sheet7!$B:$B,Sheet7!J:J)</f>
        <v>14</v>
      </c>
      <c r="Y117" s="8">
        <f>_xlfn.XLOOKUP($A117,Sheet8!$B:$B,Sheet8!H:H)</f>
        <v>0</v>
      </c>
      <c r="Z117" s="8">
        <f>_xlfn.XLOOKUP($A117,Sheet8!$B:$B,Sheet8!I:I)</f>
        <v>0</v>
      </c>
      <c r="AA117" s="9">
        <f>_xlfn.XLOOKUP($A117,Sheet8!$B:$B,Sheet8!J:J)</f>
        <v>0</v>
      </c>
      <c r="AB117" s="6">
        <f>_xlfn.XLOOKUP($A117,Sheet1!$B:$B,Sheet1!G:G,0)+_xlfn.XLOOKUP($A117,Sheet2!$B:$B,Sheet2!G:G,0)</f>
        <v>196</v>
      </c>
      <c r="AC117" s="6">
        <f>_xlfn.XLOOKUP($A117,Sheet3!$B:$B,Sheet3!G:G,0)+_xlfn.XLOOKUP($A117,Sheet4!$B:$B,Sheet4!G:G,0)</f>
        <v>245</v>
      </c>
      <c r="AD117" s="6">
        <f>_xlfn.XLOOKUP($A117,Sheet5!$B:$B,Sheet5!G:G,0)+_xlfn.XLOOKUP($A117,Sheet6!$B:$B,Sheet6!G:G,0)</f>
        <v>316</v>
      </c>
      <c r="AE117" s="6">
        <f>_xlfn.XLOOKUP($A117,Sheet7!$B:$B,Sheet7!G:G,0)+_xlfn.XLOOKUP($A117,Sheet8!$B:$B,Sheet8!G:G,0)</f>
        <v>124</v>
      </c>
      <c r="AF117" s="6" cm="1">
        <f t="array" ref="AF117">SUM(IFERROR(AB117:AE117,0))</f>
        <v>881</v>
      </c>
      <c r="AG117" s="6">
        <f t="shared" si="1"/>
        <v>114</v>
      </c>
    </row>
    <row r="118" spans="1:33" ht="15.6" x14ac:dyDescent="0.3">
      <c r="A118" s="6" t="s">
        <v>488</v>
      </c>
      <c r="B118" s="6" t="str">
        <f>_xlfn.XLOOKUP($A118,Sheet3!$B:$B,Sheet3!D:D)</f>
        <v>广州市第六中学</v>
      </c>
      <c r="C118" s="7" t="str">
        <f>_xlfn.XLOOKUP($A118,Sheet3!$B:$B,Sheet3!E:E)</f>
        <v>杨铭哲</v>
      </c>
      <c r="D118" s="6">
        <f>_xlfn.XLOOKUP($A118,Sheet1!$B:$B,Sheet1!H:H)</f>
        <v>0</v>
      </c>
      <c r="E118" s="6">
        <f>_xlfn.XLOOKUP($A118,Sheet1!$B:$B,Sheet1!I:I)</f>
        <v>0</v>
      </c>
      <c r="F118" s="6">
        <f>_xlfn.XLOOKUP($A118,Sheet1!$B:$B,Sheet1!J:J)</f>
        <v>7</v>
      </c>
      <c r="G118" s="6">
        <f>_xlfn.XLOOKUP($A118,Sheet2!$B:$B,Sheet2!H:H)</f>
        <v>100</v>
      </c>
      <c r="H118" s="6">
        <f>_xlfn.XLOOKUP($A118,Sheet2!$B:$B,Sheet2!I:I)</f>
        <v>32</v>
      </c>
      <c r="I118" s="7">
        <f>_xlfn.XLOOKUP($A118,Sheet2!$B:$B,Sheet2!J:J)</f>
        <v>12</v>
      </c>
      <c r="J118" s="8">
        <f>_xlfn.XLOOKUP($A118,Sheet3!$B:$B,Sheet3!H:H)</f>
        <v>100</v>
      </c>
      <c r="K118" s="8">
        <f>_xlfn.XLOOKUP($A118,Sheet3!$B:$B,Sheet3!I:I)</f>
        <v>40</v>
      </c>
      <c r="L118" s="8">
        <f>_xlfn.XLOOKUP($A118,Sheet3!$B:$B,Sheet3!J:J)</f>
        <v>20</v>
      </c>
      <c r="M118" s="8">
        <f>_xlfn.XLOOKUP($A118,Sheet4!$B:$B,Sheet4!H:H)</f>
        <v>100</v>
      </c>
      <c r="N118" s="8">
        <f>_xlfn.XLOOKUP($A118,Sheet4!$B:$B,Sheet4!I:I)</f>
        <v>0</v>
      </c>
      <c r="O118" s="9">
        <f>_xlfn.XLOOKUP($A118,Sheet4!$B:$B,Sheet4!J:J)</f>
        <v>1</v>
      </c>
      <c r="P118" s="8">
        <f>_xlfn.XLOOKUP($A118,Sheet5!$B:$B,Sheet5!H:H)</f>
        <v>100</v>
      </c>
      <c r="Q118" s="8">
        <f>_xlfn.XLOOKUP($A118,Sheet5!$B:$B,Sheet5!I:I)</f>
        <v>28</v>
      </c>
      <c r="R118" s="8">
        <f>_xlfn.XLOOKUP($A118,Sheet5!$B:$B,Sheet5!J:J)</f>
        <v>0</v>
      </c>
      <c r="S118" s="8">
        <f>_xlfn.XLOOKUP($A118,Sheet6!$B:$B,Sheet6!H:H)</f>
        <v>100</v>
      </c>
      <c r="T118" s="8">
        <f>_xlfn.XLOOKUP($A118,Sheet6!$B:$B,Sheet6!I:I)</f>
        <v>0</v>
      </c>
      <c r="U118" s="9">
        <f>_xlfn.XLOOKUP($A118,Sheet6!$B:$B,Sheet6!J:J)</f>
        <v>0</v>
      </c>
      <c r="V118" s="8">
        <f>_xlfn.XLOOKUP($A118,Sheet7!$B:$B,Sheet7!H:H)</f>
        <v>100</v>
      </c>
      <c r="W118" s="8">
        <f>_xlfn.XLOOKUP($A118,Sheet7!$B:$B,Sheet7!I:I)</f>
        <v>10</v>
      </c>
      <c r="X118" s="8">
        <f>_xlfn.XLOOKUP($A118,Sheet7!$B:$B,Sheet7!J:J)</f>
        <v>0</v>
      </c>
      <c r="Y118" s="8">
        <f>_xlfn.XLOOKUP($A118,Sheet8!$B:$B,Sheet8!H:H)</f>
        <v>100</v>
      </c>
      <c r="Z118" s="8">
        <f>_xlfn.XLOOKUP($A118,Sheet8!$B:$B,Sheet8!I:I)</f>
        <v>0</v>
      </c>
      <c r="AA118" s="9">
        <f>_xlfn.XLOOKUP($A118,Sheet8!$B:$B,Sheet8!J:J)</f>
        <v>25</v>
      </c>
      <c r="AB118" s="6">
        <f>_xlfn.XLOOKUP($A118,Sheet1!$B:$B,Sheet1!G:G,0)+_xlfn.XLOOKUP($A118,Sheet2!$B:$B,Sheet2!G:G,0)</f>
        <v>151</v>
      </c>
      <c r="AC118" s="6">
        <f>_xlfn.XLOOKUP($A118,Sheet3!$B:$B,Sheet3!G:G,0)+_xlfn.XLOOKUP($A118,Sheet4!$B:$B,Sheet4!G:G,0)</f>
        <v>261</v>
      </c>
      <c r="AD118" s="6">
        <f>_xlfn.XLOOKUP($A118,Sheet5!$B:$B,Sheet5!G:G,0)+_xlfn.XLOOKUP($A118,Sheet6!$B:$B,Sheet6!G:G,0)</f>
        <v>228</v>
      </c>
      <c r="AE118" s="6">
        <f>_xlfn.XLOOKUP($A118,Sheet7!$B:$B,Sheet7!G:G,0)+_xlfn.XLOOKUP($A118,Sheet8!$B:$B,Sheet8!G:G,0)</f>
        <v>235</v>
      </c>
      <c r="AF118" s="6" cm="1">
        <f t="array" ref="AF118">SUM(IFERROR(AB118:AE118,0))</f>
        <v>875</v>
      </c>
      <c r="AG118" s="6">
        <f t="shared" si="1"/>
        <v>115</v>
      </c>
    </row>
    <row r="119" spans="1:33" ht="15.6" x14ac:dyDescent="0.3">
      <c r="A119" s="6" t="s">
        <v>553</v>
      </c>
      <c r="B119" s="6" t="str">
        <f>_xlfn.XLOOKUP($A119,Sheet3!$B:$B,Sheet3!D:D)</f>
        <v>中山市纪雅学校</v>
      </c>
      <c r="C119" s="7" t="str">
        <f>_xlfn.XLOOKUP($A119,Sheet3!$B:$B,Sheet3!E:E)</f>
        <v>全智贤</v>
      </c>
      <c r="D119" s="6" t="e">
        <f>_xlfn.XLOOKUP($A119,Sheet1!$B:$B,Sheet1!H:H)</f>
        <v>#N/A</v>
      </c>
      <c r="E119" s="6" t="e">
        <f>_xlfn.XLOOKUP($A119,Sheet1!$B:$B,Sheet1!I:I)</f>
        <v>#N/A</v>
      </c>
      <c r="F119" s="6" t="e">
        <f>_xlfn.XLOOKUP($A119,Sheet1!$B:$B,Sheet1!J:J)</f>
        <v>#N/A</v>
      </c>
      <c r="G119" s="6">
        <f>_xlfn.XLOOKUP($A119,Sheet2!$B:$B,Sheet2!H:H)</f>
        <v>20</v>
      </c>
      <c r="H119" s="6">
        <f>_xlfn.XLOOKUP($A119,Sheet2!$B:$B,Sheet2!I:I)</f>
        <v>0</v>
      </c>
      <c r="I119" s="7">
        <f>_xlfn.XLOOKUP($A119,Sheet2!$B:$B,Sheet2!J:J)</f>
        <v>12</v>
      </c>
      <c r="J119" s="8">
        <f>_xlfn.XLOOKUP($A119,Sheet3!$B:$B,Sheet3!H:H)</f>
        <v>100</v>
      </c>
      <c r="K119" s="8">
        <f>_xlfn.XLOOKUP($A119,Sheet3!$B:$B,Sheet3!I:I)</f>
        <v>40</v>
      </c>
      <c r="L119" s="8">
        <f>_xlfn.XLOOKUP($A119,Sheet3!$B:$B,Sheet3!J:J)</f>
        <v>40</v>
      </c>
      <c r="M119" s="8">
        <f>_xlfn.XLOOKUP($A119,Sheet4!$B:$B,Sheet4!H:H)</f>
        <v>60</v>
      </c>
      <c r="N119" s="8">
        <f>_xlfn.XLOOKUP($A119,Sheet4!$B:$B,Sheet4!I:I)</f>
        <v>10</v>
      </c>
      <c r="O119" s="9">
        <f>_xlfn.XLOOKUP($A119,Sheet4!$B:$B,Sheet4!J:J)</f>
        <v>1</v>
      </c>
      <c r="P119" s="8">
        <f>_xlfn.XLOOKUP($A119,Sheet5!$B:$B,Sheet5!H:H)</f>
        <v>85</v>
      </c>
      <c r="Q119" s="8">
        <f>_xlfn.XLOOKUP($A119,Sheet5!$B:$B,Sheet5!I:I)</f>
        <v>32</v>
      </c>
      <c r="R119" s="8">
        <f>_xlfn.XLOOKUP($A119,Sheet5!$B:$B,Sheet5!J:J)</f>
        <v>0</v>
      </c>
      <c r="S119" s="8">
        <f>_xlfn.XLOOKUP($A119,Sheet6!$B:$B,Sheet6!H:H)</f>
        <v>100</v>
      </c>
      <c r="T119" s="8">
        <f>_xlfn.XLOOKUP($A119,Sheet6!$B:$B,Sheet6!I:I)</f>
        <v>100</v>
      </c>
      <c r="U119" s="9">
        <f>_xlfn.XLOOKUP($A119,Sheet6!$B:$B,Sheet6!J:J)</f>
        <v>0</v>
      </c>
      <c r="V119" s="8">
        <f>_xlfn.XLOOKUP($A119,Sheet7!$B:$B,Sheet7!H:H)</f>
        <v>100</v>
      </c>
      <c r="W119" s="8">
        <f>_xlfn.XLOOKUP($A119,Sheet7!$B:$B,Sheet7!I:I)</f>
        <v>0</v>
      </c>
      <c r="X119" s="8">
        <f>_xlfn.XLOOKUP($A119,Sheet7!$B:$B,Sheet7!J:J)</f>
        <v>75</v>
      </c>
      <c r="Y119" s="8">
        <f>_xlfn.XLOOKUP($A119,Sheet8!$B:$B,Sheet8!H:H)</f>
        <v>100</v>
      </c>
      <c r="Z119" s="8">
        <f>_xlfn.XLOOKUP($A119,Sheet8!$B:$B,Sheet8!I:I)</f>
        <v>0</v>
      </c>
      <c r="AA119" s="9">
        <f>_xlfn.XLOOKUP($A119,Sheet8!$B:$B,Sheet8!J:J)</f>
        <v>0</v>
      </c>
      <c r="AB119" s="6">
        <f>_xlfn.XLOOKUP($A119,Sheet1!$B:$B,Sheet1!G:G,0)+_xlfn.XLOOKUP($A119,Sheet2!$B:$B,Sheet2!G:G,0)</f>
        <v>32</v>
      </c>
      <c r="AC119" s="6">
        <f>_xlfn.XLOOKUP($A119,Sheet3!$B:$B,Sheet3!G:G,0)+_xlfn.XLOOKUP($A119,Sheet4!$B:$B,Sheet4!G:G,0)</f>
        <v>251</v>
      </c>
      <c r="AD119" s="6">
        <f>_xlfn.XLOOKUP($A119,Sheet5!$B:$B,Sheet5!G:G,0)+_xlfn.XLOOKUP($A119,Sheet6!$B:$B,Sheet6!G:G,0)</f>
        <v>317</v>
      </c>
      <c r="AE119" s="6">
        <f>_xlfn.XLOOKUP($A119,Sheet7!$B:$B,Sheet7!G:G,0)+_xlfn.XLOOKUP($A119,Sheet8!$B:$B,Sheet8!G:G,0)</f>
        <v>275</v>
      </c>
      <c r="AF119" s="6" cm="1">
        <f t="array" ref="AF119">SUM(IFERROR(AB119:AE119,0))</f>
        <v>875</v>
      </c>
      <c r="AG119" s="6">
        <f t="shared" si="1"/>
        <v>115</v>
      </c>
    </row>
    <row r="120" spans="1:33" ht="15.6" x14ac:dyDescent="0.3">
      <c r="A120" s="6" t="s">
        <v>497</v>
      </c>
      <c r="B120" s="6" t="str">
        <f>_xlfn.XLOOKUP($A120,Sheet3!$B:$B,Sheet3!D:D)</f>
        <v>清华大学附属中学</v>
      </c>
      <c r="C120" s="7" t="str">
        <f>_xlfn.XLOOKUP($A120,Sheet3!$B:$B,Sheet3!E:E)</f>
        <v>田滨诚</v>
      </c>
      <c r="D120" s="6">
        <f>_xlfn.XLOOKUP($A120,Sheet1!$B:$B,Sheet1!H:H)</f>
        <v>0</v>
      </c>
      <c r="E120" s="6">
        <f>_xlfn.XLOOKUP($A120,Sheet1!$B:$B,Sheet1!I:I)</f>
        <v>0</v>
      </c>
      <c r="F120" s="6">
        <f>_xlfn.XLOOKUP($A120,Sheet1!$B:$B,Sheet1!J:J)</f>
        <v>0</v>
      </c>
      <c r="G120" s="6">
        <f>_xlfn.XLOOKUP($A120,Sheet2!$B:$B,Sheet2!H:H)</f>
        <v>100</v>
      </c>
      <c r="H120" s="6">
        <f>_xlfn.XLOOKUP($A120,Sheet2!$B:$B,Sheet2!I:I)</f>
        <v>44</v>
      </c>
      <c r="I120" s="7">
        <f>_xlfn.XLOOKUP($A120,Sheet2!$B:$B,Sheet2!J:J)</f>
        <v>0</v>
      </c>
      <c r="J120" s="8">
        <f>_xlfn.XLOOKUP($A120,Sheet3!$B:$B,Sheet3!H:H)</f>
        <v>100</v>
      </c>
      <c r="K120" s="8">
        <f>_xlfn.XLOOKUP($A120,Sheet3!$B:$B,Sheet3!I:I)</f>
        <v>40</v>
      </c>
      <c r="L120" s="8">
        <f>_xlfn.XLOOKUP($A120,Sheet3!$B:$B,Sheet3!J:J)</f>
        <v>40</v>
      </c>
      <c r="M120" s="8">
        <f>_xlfn.XLOOKUP($A120,Sheet4!$B:$B,Sheet4!H:H)</f>
        <v>100</v>
      </c>
      <c r="N120" s="8">
        <f>_xlfn.XLOOKUP($A120,Sheet4!$B:$B,Sheet4!I:I)</f>
        <v>0</v>
      </c>
      <c r="O120" s="9">
        <f>_xlfn.XLOOKUP($A120,Sheet4!$B:$B,Sheet4!J:J)</f>
        <v>12</v>
      </c>
      <c r="P120" s="8">
        <f>_xlfn.XLOOKUP($A120,Sheet5!$B:$B,Sheet5!H:H)</f>
        <v>0</v>
      </c>
      <c r="Q120" s="8">
        <f>_xlfn.XLOOKUP($A120,Sheet5!$B:$B,Sheet5!I:I)</f>
        <v>32</v>
      </c>
      <c r="R120" s="8">
        <f>_xlfn.XLOOKUP($A120,Sheet5!$B:$B,Sheet5!J:J)</f>
        <v>0</v>
      </c>
      <c r="S120" s="8">
        <f>_xlfn.XLOOKUP($A120,Sheet6!$B:$B,Sheet6!H:H)</f>
        <v>100</v>
      </c>
      <c r="T120" s="8">
        <f>_xlfn.XLOOKUP($A120,Sheet6!$B:$B,Sheet6!I:I)</f>
        <v>52</v>
      </c>
      <c r="U120" s="9">
        <f>_xlfn.XLOOKUP($A120,Sheet6!$B:$B,Sheet6!J:J)</f>
        <v>0</v>
      </c>
      <c r="V120" s="8">
        <f>_xlfn.XLOOKUP($A120,Sheet7!$B:$B,Sheet7!H:H)</f>
        <v>100</v>
      </c>
      <c r="W120" s="8">
        <f>_xlfn.XLOOKUP($A120,Sheet7!$B:$B,Sheet7!I:I)</f>
        <v>10</v>
      </c>
      <c r="X120" s="8">
        <f>_xlfn.XLOOKUP($A120,Sheet7!$B:$B,Sheet7!J:J)</f>
        <v>42</v>
      </c>
      <c r="Y120" s="8">
        <f>_xlfn.XLOOKUP($A120,Sheet8!$B:$B,Sheet8!H:H)</f>
        <v>100</v>
      </c>
      <c r="Z120" s="8">
        <f>_xlfn.XLOOKUP($A120,Sheet8!$B:$B,Sheet8!I:I)</f>
        <v>0</v>
      </c>
      <c r="AA120" s="9">
        <f>_xlfn.XLOOKUP($A120,Sheet8!$B:$B,Sheet8!J:J)</f>
        <v>0</v>
      </c>
      <c r="AB120" s="6">
        <f>_xlfn.XLOOKUP($A120,Sheet1!$B:$B,Sheet1!G:G,0)+_xlfn.XLOOKUP($A120,Sheet2!$B:$B,Sheet2!G:G,0)</f>
        <v>144</v>
      </c>
      <c r="AC120" s="6">
        <f>_xlfn.XLOOKUP($A120,Sheet3!$B:$B,Sheet3!G:G,0)+_xlfn.XLOOKUP($A120,Sheet4!$B:$B,Sheet4!G:G,0)</f>
        <v>292</v>
      </c>
      <c r="AD120" s="6">
        <f>_xlfn.XLOOKUP($A120,Sheet5!$B:$B,Sheet5!G:G,0)+_xlfn.XLOOKUP($A120,Sheet6!$B:$B,Sheet6!G:G,0)</f>
        <v>184</v>
      </c>
      <c r="AE120" s="6">
        <f>_xlfn.XLOOKUP($A120,Sheet7!$B:$B,Sheet7!G:G,0)+_xlfn.XLOOKUP($A120,Sheet8!$B:$B,Sheet8!G:G,0)</f>
        <v>252</v>
      </c>
      <c r="AF120" s="6" cm="1">
        <f t="array" ref="AF120">SUM(IFERROR(AB120:AE120,0))</f>
        <v>872</v>
      </c>
      <c r="AG120" s="6">
        <f t="shared" si="1"/>
        <v>117</v>
      </c>
    </row>
    <row r="121" spans="1:33" ht="15.6" x14ac:dyDescent="0.3">
      <c r="A121" s="6" t="s">
        <v>263</v>
      </c>
      <c r="B121" s="6" t="str">
        <f>_xlfn.XLOOKUP($A121,Sheet3!$B:$B,Sheet3!D:D)</f>
        <v>长沙市第一中学</v>
      </c>
      <c r="C121" s="7" t="str">
        <f>_xlfn.XLOOKUP($A121,Sheet3!$B:$B,Sheet3!E:E)</f>
        <v>匡宸锐</v>
      </c>
      <c r="D121" s="6">
        <f>_xlfn.XLOOKUP($A121,Sheet1!$B:$B,Sheet1!H:H)</f>
        <v>100</v>
      </c>
      <c r="E121" s="6">
        <f>_xlfn.XLOOKUP($A121,Sheet1!$B:$B,Sheet1!I:I)</f>
        <v>0</v>
      </c>
      <c r="F121" s="6">
        <f>_xlfn.XLOOKUP($A121,Sheet1!$B:$B,Sheet1!J:J)</f>
        <v>0</v>
      </c>
      <c r="G121" s="6" t="e">
        <f>_xlfn.XLOOKUP($A121,Sheet2!$B:$B,Sheet2!H:H)</f>
        <v>#N/A</v>
      </c>
      <c r="H121" s="6" t="e">
        <f>_xlfn.XLOOKUP($A121,Sheet2!$B:$B,Sheet2!I:I)</f>
        <v>#N/A</v>
      </c>
      <c r="I121" s="7" t="e">
        <f>_xlfn.XLOOKUP($A121,Sheet2!$B:$B,Sheet2!J:J)</f>
        <v>#N/A</v>
      </c>
      <c r="J121" s="8">
        <f>_xlfn.XLOOKUP($A121,Sheet3!$B:$B,Sheet3!H:H)</f>
        <v>100</v>
      </c>
      <c r="K121" s="8">
        <f>_xlfn.XLOOKUP($A121,Sheet3!$B:$B,Sheet3!I:I)</f>
        <v>60</v>
      </c>
      <c r="L121" s="8">
        <f>_xlfn.XLOOKUP($A121,Sheet3!$B:$B,Sheet3!J:J)</f>
        <v>0</v>
      </c>
      <c r="M121" s="8">
        <f>_xlfn.XLOOKUP($A121,Sheet4!$B:$B,Sheet4!H:H)</f>
        <v>100</v>
      </c>
      <c r="N121" s="8">
        <f>_xlfn.XLOOKUP($A121,Sheet4!$B:$B,Sheet4!I:I)</f>
        <v>0</v>
      </c>
      <c r="O121" s="9">
        <f>_xlfn.XLOOKUP($A121,Sheet4!$B:$B,Sheet4!J:J)</f>
        <v>0</v>
      </c>
      <c r="P121" s="8">
        <f>_xlfn.XLOOKUP($A121,Sheet5!$B:$B,Sheet5!H:H)</f>
        <v>100</v>
      </c>
      <c r="Q121" s="8">
        <f>_xlfn.XLOOKUP($A121,Sheet5!$B:$B,Sheet5!I:I)</f>
        <v>0</v>
      </c>
      <c r="R121" s="8">
        <f>_xlfn.XLOOKUP($A121,Sheet5!$B:$B,Sheet5!J:J)</f>
        <v>0</v>
      </c>
      <c r="S121" s="8">
        <f>_xlfn.XLOOKUP($A121,Sheet6!$B:$B,Sheet6!H:H)</f>
        <v>100</v>
      </c>
      <c r="T121" s="8">
        <f>_xlfn.XLOOKUP($A121,Sheet6!$B:$B,Sheet6!I:I)</f>
        <v>100</v>
      </c>
      <c r="U121" s="9">
        <f>_xlfn.XLOOKUP($A121,Sheet6!$B:$B,Sheet6!J:J)</f>
        <v>100</v>
      </c>
      <c r="V121" s="8">
        <f>_xlfn.XLOOKUP($A121,Sheet7!$B:$B,Sheet7!H:H)</f>
        <v>100</v>
      </c>
      <c r="W121" s="8">
        <f>_xlfn.XLOOKUP($A121,Sheet7!$B:$B,Sheet7!I:I)</f>
        <v>0</v>
      </c>
      <c r="X121" s="8">
        <f>_xlfn.XLOOKUP($A121,Sheet7!$B:$B,Sheet7!J:J)</f>
        <v>0</v>
      </c>
      <c r="Y121" s="8">
        <f>_xlfn.XLOOKUP($A121,Sheet8!$B:$B,Sheet8!H:H)</f>
        <v>0</v>
      </c>
      <c r="Z121" s="8">
        <f>_xlfn.XLOOKUP($A121,Sheet8!$B:$B,Sheet8!I:I)</f>
        <v>0</v>
      </c>
      <c r="AA121" s="9">
        <f>_xlfn.XLOOKUP($A121,Sheet8!$B:$B,Sheet8!J:J)</f>
        <v>0</v>
      </c>
      <c r="AB121" s="6">
        <f>_xlfn.XLOOKUP($A121,Sheet1!$B:$B,Sheet1!G:G,0)+_xlfn.XLOOKUP($A121,Sheet2!$B:$B,Sheet2!G:G,0)</f>
        <v>100</v>
      </c>
      <c r="AC121" s="6">
        <f>_xlfn.XLOOKUP($A121,Sheet3!$B:$B,Sheet3!G:G,0)+_xlfn.XLOOKUP($A121,Sheet4!$B:$B,Sheet4!G:G,0)</f>
        <v>260</v>
      </c>
      <c r="AD121" s="6">
        <f>_xlfn.XLOOKUP($A121,Sheet5!$B:$B,Sheet5!G:G,0)+_xlfn.XLOOKUP($A121,Sheet6!$B:$B,Sheet6!G:G,0)</f>
        <v>400</v>
      </c>
      <c r="AE121" s="6">
        <f>_xlfn.XLOOKUP($A121,Sheet7!$B:$B,Sheet7!G:G,0)+_xlfn.XLOOKUP($A121,Sheet8!$B:$B,Sheet8!G:G,0)</f>
        <v>100</v>
      </c>
      <c r="AF121" s="6" cm="1">
        <f t="array" ref="AF121">SUM(IFERROR(AB121:AE121,0))</f>
        <v>860</v>
      </c>
      <c r="AG121" s="6">
        <f t="shared" si="1"/>
        <v>118</v>
      </c>
    </row>
    <row r="122" spans="1:33" ht="15.6" x14ac:dyDescent="0.3">
      <c r="A122" s="6" t="s">
        <v>341</v>
      </c>
      <c r="B122" s="6" t="str">
        <f>_xlfn.XLOOKUP($A122,Sheet3!$B:$B,Sheet3!D:D)</f>
        <v>长沙市第一中学</v>
      </c>
      <c r="C122" s="7" t="str">
        <f>_xlfn.XLOOKUP($A122,Sheet3!$B:$B,Sheet3!E:E)</f>
        <v>王奕博</v>
      </c>
      <c r="D122" s="6">
        <f>_xlfn.XLOOKUP($A122,Sheet1!$B:$B,Sheet1!H:H)</f>
        <v>42</v>
      </c>
      <c r="E122" s="6">
        <f>_xlfn.XLOOKUP($A122,Sheet1!$B:$B,Sheet1!I:I)</f>
        <v>0</v>
      </c>
      <c r="F122" s="6">
        <f>_xlfn.XLOOKUP($A122,Sheet1!$B:$B,Sheet1!J:J)</f>
        <v>0</v>
      </c>
      <c r="G122" s="6">
        <f>_xlfn.XLOOKUP($A122,Sheet2!$B:$B,Sheet2!H:H)</f>
        <v>70</v>
      </c>
      <c r="H122" s="6">
        <f>_xlfn.XLOOKUP($A122,Sheet2!$B:$B,Sheet2!I:I)</f>
        <v>20</v>
      </c>
      <c r="I122" s="7">
        <f>_xlfn.XLOOKUP($A122,Sheet2!$B:$B,Sheet2!J:J)</f>
        <v>12</v>
      </c>
      <c r="J122" s="8">
        <f>_xlfn.XLOOKUP($A122,Sheet3!$B:$B,Sheet3!H:H)</f>
        <v>100</v>
      </c>
      <c r="K122" s="8">
        <f>_xlfn.XLOOKUP($A122,Sheet3!$B:$B,Sheet3!I:I)</f>
        <v>40</v>
      </c>
      <c r="L122" s="8">
        <f>_xlfn.XLOOKUP($A122,Sheet3!$B:$B,Sheet3!J:J)</f>
        <v>10</v>
      </c>
      <c r="M122" s="8">
        <f>_xlfn.XLOOKUP($A122,Sheet4!$B:$B,Sheet4!H:H)</f>
        <v>60</v>
      </c>
      <c r="N122" s="8">
        <f>_xlfn.XLOOKUP($A122,Sheet4!$B:$B,Sheet4!I:I)</f>
        <v>11</v>
      </c>
      <c r="O122" s="9">
        <f>_xlfn.XLOOKUP($A122,Sheet4!$B:$B,Sheet4!J:J)</f>
        <v>1</v>
      </c>
      <c r="P122" s="8">
        <f>_xlfn.XLOOKUP($A122,Sheet5!$B:$B,Sheet5!H:H)</f>
        <v>100</v>
      </c>
      <c r="Q122" s="8">
        <f>_xlfn.XLOOKUP($A122,Sheet5!$B:$B,Sheet5!I:I)</f>
        <v>32</v>
      </c>
      <c r="R122" s="8">
        <f>_xlfn.XLOOKUP($A122,Sheet5!$B:$B,Sheet5!J:J)</f>
        <v>10</v>
      </c>
      <c r="S122" s="8">
        <f>_xlfn.XLOOKUP($A122,Sheet6!$B:$B,Sheet6!H:H)</f>
        <v>100</v>
      </c>
      <c r="T122" s="8">
        <f>_xlfn.XLOOKUP($A122,Sheet6!$B:$B,Sheet6!I:I)</f>
        <v>36</v>
      </c>
      <c r="U122" s="9">
        <f>_xlfn.XLOOKUP($A122,Sheet6!$B:$B,Sheet6!J:J)</f>
        <v>24</v>
      </c>
      <c r="V122" s="8">
        <f>_xlfn.XLOOKUP($A122,Sheet7!$B:$B,Sheet7!H:H)</f>
        <v>100</v>
      </c>
      <c r="W122" s="8">
        <f>_xlfn.XLOOKUP($A122,Sheet7!$B:$B,Sheet7!I:I)</f>
        <v>10</v>
      </c>
      <c r="X122" s="8">
        <f>_xlfn.XLOOKUP($A122,Sheet7!$B:$B,Sheet7!J:J)</f>
        <v>0</v>
      </c>
      <c r="Y122" s="8">
        <f>_xlfn.XLOOKUP($A122,Sheet8!$B:$B,Sheet8!H:H)</f>
        <v>70</v>
      </c>
      <c r="Z122" s="8">
        <f>_xlfn.XLOOKUP($A122,Sheet8!$B:$B,Sheet8!I:I)</f>
        <v>0</v>
      </c>
      <c r="AA122" s="9">
        <f>_xlfn.XLOOKUP($A122,Sheet8!$B:$B,Sheet8!J:J)</f>
        <v>0</v>
      </c>
      <c r="AB122" s="6">
        <f>_xlfn.XLOOKUP($A122,Sheet1!$B:$B,Sheet1!G:G,0)+_xlfn.XLOOKUP($A122,Sheet2!$B:$B,Sheet2!G:G,0)</f>
        <v>144</v>
      </c>
      <c r="AC122" s="6">
        <f>_xlfn.XLOOKUP($A122,Sheet3!$B:$B,Sheet3!G:G,0)+_xlfn.XLOOKUP($A122,Sheet4!$B:$B,Sheet4!G:G,0)</f>
        <v>222</v>
      </c>
      <c r="AD122" s="6">
        <f>_xlfn.XLOOKUP($A122,Sheet5!$B:$B,Sheet5!G:G,0)+_xlfn.XLOOKUP($A122,Sheet6!$B:$B,Sheet6!G:G,0)</f>
        <v>302</v>
      </c>
      <c r="AE122" s="6">
        <f>_xlfn.XLOOKUP($A122,Sheet7!$B:$B,Sheet7!G:G,0)+_xlfn.XLOOKUP($A122,Sheet8!$B:$B,Sheet8!G:G,0)</f>
        <v>180</v>
      </c>
      <c r="AF122" s="6" cm="1">
        <f t="array" ref="AF122">SUM(IFERROR(AB122:AE122,0))</f>
        <v>848</v>
      </c>
      <c r="AG122" s="6">
        <f t="shared" si="1"/>
        <v>119</v>
      </c>
    </row>
    <row r="123" spans="1:33" ht="15.6" x14ac:dyDescent="0.3">
      <c r="A123" s="6" t="s">
        <v>491</v>
      </c>
      <c r="B123" s="6" t="str">
        <f>_xlfn.XLOOKUP($A123,Sheet3!$B:$B,Sheet3!D:D)</f>
        <v>中山市中山纪念中学</v>
      </c>
      <c r="C123" s="7" t="str">
        <f>_xlfn.XLOOKUP($A123,Sheet3!$B:$B,Sheet3!E:E)</f>
        <v>阳毅</v>
      </c>
      <c r="D123" s="6">
        <f>_xlfn.XLOOKUP($A123,Sheet1!$B:$B,Sheet1!H:H)</f>
        <v>0</v>
      </c>
      <c r="E123" s="6">
        <f>_xlfn.XLOOKUP($A123,Sheet1!$B:$B,Sheet1!I:I)</f>
        <v>0</v>
      </c>
      <c r="F123" s="6">
        <f>_xlfn.XLOOKUP($A123,Sheet1!$B:$B,Sheet1!J:J)</f>
        <v>7</v>
      </c>
      <c r="G123" s="6">
        <f>_xlfn.XLOOKUP($A123,Sheet2!$B:$B,Sheet2!H:H)</f>
        <v>20</v>
      </c>
      <c r="H123" s="6">
        <f>_xlfn.XLOOKUP($A123,Sheet2!$B:$B,Sheet2!I:I)</f>
        <v>0</v>
      </c>
      <c r="I123" s="7">
        <f>_xlfn.XLOOKUP($A123,Sheet2!$B:$B,Sheet2!J:J)</f>
        <v>12</v>
      </c>
      <c r="J123" s="8">
        <f>_xlfn.XLOOKUP($A123,Sheet3!$B:$B,Sheet3!H:H)</f>
        <v>100</v>
      </c>
      <c r="K123" s="8">
        <f>_xlfn.XLOOKUP($A123,Sheet3!$B:$B,Sheet3!I:I)</f>
        <v>20</v>
      </c>
      <c r="L123" s="8">
        <f>_xlfn.XLOOKUP($A123,Sheet3!$B:$B,Sheet3!J:J)</f>
        <v>10</v>
      </c>
      <c r="M123" s="8">
        <f>_xlfn.XLOOKUP($A123,Sheet4!$B:$B,Sheet4!H:H)</f>
        <v>100</v>
      </c>
      <c r="N123" s="8">
        <f>_xlfn.XLOOKUP($A123,Sheet4!$B:$B,Sheet4!I:I)</f>
        <v>0</v>
      </c>
      <c r="O123" s="9">
        <f>_xlfn.XLOOKUP($A123,Sheet4!$B:$B,Sheet4!J:J)</f>
        <v>1</v>
      </c>
      <c r="P123" s="8">
        <f>_xlfn.XLOOKUP($A123,Sheet5!$B:$B,Sheet5!H:H)</f>
        <v>100</v>
      </c>
      <c r="Q123" s="8">
        <f>_xlfn.XLOOKUP($A123,Sheet5!$B:$B,Sheet5!I:I)</f>
        <v>0</v>
      </c>
      <c r="R123" s="8">
        <f>_xlfn.XLOOKUP($A123,Sheet5!$B:$B,Sheet5!J:J)</f>
        <v>30</v>
      </c>
      <c r="S123" s="8">
        <f>_xlfn.XLOOKUP($A123,Sheet6!$B:$B,Sheet6!H:H)</f>
        <v>100</v>
      </c>
      <c r="T123" s="8">
        <f>_xlfn.XLOOKUP($A123,Sheet6!$B:$B,Sheet6!I:I)</f>
        <v>100</v>
      </c>
      <c r="U123" s="9">
        <f>_xlfn.XLOOKUP($A123,Sheet6!$B:$B,Sheet6!J:J)</f>
        <v>24</v>
      </c>
      <c r="V123" s="8">
        <f>_xlfn.XLOOKUP($A123,Sheet7!$B:$B,Sheet7!H:H)</f>
        <v>100</v>
      </c>
      <c r="W123" s="8">
        <f>_xlfn.XLOOKUP($A123,Sheet7!$B:$B,Sheet7!I:I)</f>
        <v>10</v>
      </c>
      <c r="X123" s="8">
        <f>_xlfn.XLOOKUP($A123,Sheet7!$B:$B,Sheet7!J:J)</f>
        <v>14</v>
      </c>
      <c r="Y123" s="8">
        <f>_xlfn.XLOOKUP($A123,Sheet8!$B:$B,Sheet8!H:H)</f>
        <v>100</v>
      </c>
      <c r="Z123" s="8">
        <f>_xlfn.XLOOKUP($A123,Sheet8!$B:$B,Sheet8!I:I)</f>
        <v>0</v>
      </c>
      <c r="AA123" s="9">
        <f>_xlfn.XLOOKUP($A123,Sheet8!$B:$B,Sheet8!J:J)</f>
        <v>0</v>
      </c>
      <c r="AB123" s="6">
        <f>_xlfn.XLOOKUP($A123,Sheet1!$B:$B,Sheet1!G:G,0)+_xlfn.XLOOKUP($A123,Sheet2!$B:$B,Sheet2!G:G,0)</f>
        <v>39</v>
      </c>
      <c r="AC123" s="6">
        <f>_xlfn.XLOOKUP($A123,Sheet3!$B:$B,Sheet3!G:G,0)+_xlfn.XLOOKUP($A123,Sheet4!$B:$B,Sheet4!G:G,0)</f>
        <v>231</v>
      </c>
      <c r="AD123" s="6">
        <f>_xlfn.XLOOKUP($A123,Sheet5!$B:$B,Sheet5!G:G,0)+_xlfn.XLOOKUP($A123,Sheet6!$B:$B,Sheet6!G:G,0)</f>
        <v>354</v>
      </c>
      <c r="AE123" s="6">
        <f>_xlfn.XLOOKUP($A123,Sheet7!$B:$B,Sheet7!G:G,0)+_xlfn.XLOOKUP($A123,Sheet8!$B:$B,Sheet8!G:G,0)</f>
        <v>224</v>
      </c>
      <c r="AF123" s="6" cm="1">
        <f t="array" ref="AF123">SUM(IFERROR(AB123:AE123,0))</f>
        <v>848</v>
      </c>
      <c r="AG123" s="6">
        <f t="shared" si="1"/>
        <v>119</v>
      </c>
    </row>
    <row r="124" spans="1:33" ht="15.6" x14ac:dyDescent="0.3">
      <c r="A124" s="6" t="s">
        <v>412</v>
      </c>
      <c r="B124" s="6" t="str">
        <f>_xlfn.XLOOKUP($A124,Sheet3!$B:$B,Sheet3!D:D)</f>
        <v>陕西渭南高新中学</v>
      </c>
      <c r="C124" s="7" t="str">
        <f>_xlfn.XLOOKUP($A124,Sheet3!$B:$B,Sheet3!E:E)</f>
        <v>张嘉宁</v>
      </c>
      <c r="D124" s="6">
        <f>_xlfn.XLOOKUP($A124,Sheet1!$B:$B,Sheet1!H:H)</f>
        <v>24</v>
      </c>
      <c r="E124" s="6">
        <f>_xlfn.XLOOKUP($A124,Sheet1!$B:$B,Sheet1!I:I)</f>
        <v>0</v>
      </c>
      <c r="F124" s="6">
        <f>_xlfn.XLOOKUP($A124,Sheet1!$B:$B,Sheet1!J:J)</f>
        <v>0</v>
      </c>
      <c r="G124" s="6">
        <f>_xlfn.XLOOKUP($A124,Sheet2!$B:$B,Sheet2!H:H)</f>
        <v>100</v>
      </c>
      <c r="H124" s="6">
        <f>_xlfn.XLOOKUP($A124,Sheet2!$B:$B,Sheet2!I:I)</f>
        <v>0</v>
      </c>
      <c r="I124" s="7">
        <f>_xlfn.XLOOKUP($A124,Sheet2!$B:$B,Sheet2!J:J)</f>
        <v>0</v>
      </c>
      <c r="J124" s="8">
        <f>_xlfn.XLOOKUP($A124,Sheet3!$B:$B,Sheet3!H:H)</f>
        <v>100</v>
      </c>
      <c r="K124" s="8">
        <f>_xlfn.XLOOKUP($A124,Sheet3!$B:$B,Sheet3!I:I)</f>
        <v>100</v>
      </c>
      <c r="L124" s="8">
        <f>_xlfn.XLOOKUP($A124,Sheet3!$B:$B,Sheet3!J:J)</f>
        <v>40</v>
      </c>
      <c r="M124" s="8">
        <f>_xlfn.XLOOKUP($A124,Sheet4!$B:$B,Sheet4!H:H)</f>
        <v>100</v>
      </c>
      <c r="N124" s="8">
        <f>_xlfn.XLOOKUP($A124,Sheet4!$B:$B,Sheet4!I:I)</f>
        <v>11</v>
      </c>
      <c r="O124" s="9">
        <f>_xlfn.XLOOKUP($A124,Sheet4!$B:$B,Sheet4!J:J)</f>
        <v>1</v>
      </c>
      <c r="P124" s="8">
        <f>_xlfn.XLOOKUP($A124,Sheet5!$B:$B,Sheet5!H:H)</f>
        <v>95</v>
      </c>
      <c r="Q124" s="8">
        <f>_xlfn.XLOOKUP($A124,Sheet5!$B:$B,Sheet5!I:I)</f>
        <v>32</v>
      </c>
      <c r="R124" s="8">
        <f>_xlfn.XLOOKUP($A124,Sheet5!$B:$B,Sheet5!J:J)</f>
        <v>0</v>
      </c>
      <c r="S124" s="8">
        <f>_xlfn.XLOOKUP($A124,Sheet6!$B:$B,Sheet6!H:H)</f>
        <v>100</v>
      </c>
      <c r="T124" s="8">
        <f>_xlfn.XLOOKUP($A124,Sheet6!$B:$B,Sheet6!I:I)</f>
        <v>0</v>
      </c>
      <c r="U124" s="9">
        <f>_xlfn.XLOOKUP($A124,Sheet6!$B:$B,Sheet6!J:J)</f>
        <v>4</v>
      </c>
      <c r="V124" s="8">
        <f>_xlfn.XLOOKUP($A124,Sheet7!$B:$B,Sheet7!H:H)</f>
        <v>100</v>
      </c>
      <c r="W124" s="8">
        <f>_xlfn.XLOOKUP($A124,Sheet7!$B:$B,Sheet7!I:I)</f>
        <v>0</v>
      </c>
      <c r="X124" s="8">
        <f>_xlfn.XLOOKUP($A124,Sheet7!$B:$B,Sheet7!J:J)</f>
        <v>0</v>
      </c>
      <c r="Y124" s="8">
        <f>_xlfn.XLOOKUP($A124,Sheet8!$B:$B,Sheet8!H:H)</f>
        <v>40</v>
      </c>
      <c r="Z124" s="8">
        <f>_xlfn.XLOOKUP($A124,Sheet8!$B:$B,Sheet8!I:I)</f>
        <v>0</v>
      </c>
      <c r="AA124" s="9">
        <f>_xlfn.XLOOKUP($A124,Sheet8!$B:$B,Sheet8!J:J)</f>
        <v>0</v>
      </c>
      <c r="AB124" s="6">
        <f>_xlfn.XLOOKUP($A124,Sheet1!$B:$B,Sheet1!G:G,0)+_xlfn.XLOOKUP($A124,Sheet2!$B:$B,Sheet2!G:G,0)</f>
        <v>124</v>
      </c>
      <c r="AC124" s="6">
        <f>_xlfn.XLOOKUP($A124,Sheet3!$B:$B,Sheet3!G:G,0)+_xlfn.XLOOKUP($A124,Sheet4!$B:$B,Sheet4!G:G,0)</f>
        <v>352</v>
      </c>
      <c r="AD124" s="6">
        <f>_xlfn.XLOOKUP($A124,Sheet5!$B:$B,Sheet5!G:G,0)+_xlfn.XLOOKUP($A124,Sheet6!$B:$B,Sheet6!G:G,0)</f>
        <v>231</v>
      </c>
      <c r="AE124" s="6">
        <f>_xlfn.XLOOKUP($A124,Sheet7!$B:$B,Sheet7!G:G,0)+_xlfn.XLOOKUP($A124,Sheet8!$B:$B,Sheet8!G:G,0)</f>
        <v>140</v>
      </c>
      <c r="AF124" s="6" cm="1">
        <f t="array" ref="AF124">SUM(IFERROR(AB124:AE124,0))</f>
        <v>847</v>
      </c>
      <c r="AG124" s="6">
        <f t="shared" si="1"/>
        <v>121</v>
      </c>
    </row>
    <row r="125" spans="1:33" ht="15.6" x14ac:dyDescent="0.3">
      <c r="A125" s="6" t="s">
        <v>543</v>
      </c>
      <c r="B125" s="6" t="str">
        <f>_xlfn.XLOOKUP($A125,Sheet3!$B:$B,Sheet3!D:D)</f>
        <v>广东实验中学</v>
      </c>
      <c r="C125" s="7" t="str">
        <f>_xlfn.XLOOKUP($A125,Sheet3!$B:$B,Sheet3!E:E)</f>
        <v>李昱嘉</v>
      </c>
      <c r="D125" s="6" t="e">
        <f>_xlfn.XLOOKUP($A125,Sheet1!$B:$B,Sheet1!H:H)</f>
        <v>#N/A</v>
      </c>
      <c r="E125" s="6" t="e">
        <f>_xlfn.XLOOKUP($A125,Sheet1!$B:$B,Sheet1!I:I)</f>
        <v>#N/A</v>
      </c>
      <c r="F125" s="6" t="e">
        <f>_xlfn.XLOOKUP($A125,Sheet1!$B:$B,Sheet1!J:J)</f>
        <v>#N/A</v>
      </c>
      <c r="G125" s="6">
        <f>_xlfn.XLOOKUP($A125,Sheet2!$B:$B,Sheet2!H:H)</f>
        <v>100</v>
      </c>
      <c r="H125" s="6">
        <f>_xlfn.XLOOKUP($A125,Sheet2!$B:$B,Sheet2!I:I)</f>
        <v>32</v>
      </c>
      <c r="I125" s="7">
        <f>_xlfn.XLOOKUP($A125,Sheet2!$B:$B,Sheet2!J:J)</f>
        <v>15</v>
      </c>
      <c r="J125" s="8">
        <f>_xlfn.XLOOKUP($A125,Sheet3!$B:$B,Sheet3!H:H)</f>
        <v>100</v>
      </c>
      <c r="K125" s="8">
        <f>_xlfn.XLOOKUP($A125,Sheet3!$B:$B,Sheet3!I:I)</f>
        <v>100</v>
      </c>
      <c r="L125" s="8">
        <f>_xlfn.XLOOKUP($A125,Sheet3!$B:$B,Sheet3!J:J)</f>
        <v>40</v>
      </c>
      <c r="M125" s="8">
        <f>_xlfn.XLOOKUP($A125,Sheet4!$B:$B,Sheet4!H:H)</f>
        <v>10</v>
      </c>
      <c r="N125" s="8">
        <f>_xlfn.XLOOKUP($A125,Sheet4!$B:$B,Sheet4!I:I)</f>
        <v>100</v>
      </c>
      <c r="O125" s="9">
        <f>_xlfn.XLOOKUP($A125,Sheet4!$B:$B,Sheet4!J:J)</f>
        <v>0</v>
      </c>
      <c r="P125" s="8">
        <f>_xlfn.XLOOKUP($A125,Sheet5!$B:$B,Sheet5!H:H)</f>
        <v>100</v>
      </c>
      <c r="Q125" s="8">
        <f>_xlfn.XLOOKUP($A125,Sheet5!$B:$B,Sheet5!I:I)</f>
        <v>72</v>
      </c>
      <c r="R125" s="8">
        <f>_xlfn.XLOOKUP($A125,Sheet5!$B:$B,Sheet5!J:J)</f>
        <v>20</v>
      </c>
      <c r="S125" s="8" t="e">
        <f>_xlfn.XLOOKUP($A125,Sheet6!$B:$B,Sheet6!H:H)</f>
        <v>#N/A</v>
      </c>
      <c r="T125" s="8" t="e">
        <f>_xlfn.XLOOKUP($A125,Sheet6!$B:$B,Sheet6!I:I)</f>
        <v>#N/A</v>
      </c>
      <c r="U125" s="9" t="e">
        <f>_xlfn.XLOOKUP($A125,Sheet6!$B:$B,Sheet6!J:J)</f>
        <v>#N/A</v>
      </c>
      <c r="V125" s="8">
        <f>_xlfn.XLOOKUP($A125,Sheet7!$B:$B,Sheet7!H:H)</f>
        <v>100</v>
      </c>
      <c r="W125" s="8">
        <f>_xlfn.XLOOKUP($A125,Sheet7!$B:$B,Sheet7!I:I)</f>
        <v>0</v>
      </c>
      <c r="X125" s="8">
        <f>_xlfn.XLOOKUP($A125,Sheet7!$B:$B,Sheet7!J:J)</f>
        <v>14</v>
      </c>
      <c r="Y125" s="8">
        <f>_xlfn.XLOOKUP($A125,Sheet8!$B:$B,Sheet8!H:H)</f>
        <v>0</v>
      </c>
      <c r="Z125" s="8">
        <f>_xlfn.XLOOKUP($A125,Sheet8!$B:$B,Sheet8!I:I)</f>
        <v>0</v>
      </c>
      <c r="AA125" s="9">
        <f>_xlfn.XLOOKUP($A125,Sheet8!$B:$B,Sheet8!J:J)</f>
        <v>0</v>
      </c>
      <c r="AB125" s="6">
        <f>_xlfn.XLOOKUP($A125,Sheet1!$B:$B,Sheet1!G:G,0)+_xlfn.XLOOKUP($A125,Sheet2!$B:$B,Sheet2!G:G,0)</f>
        <v>147</v>
      </c>
      <c r="AC125" s="6">
        <f>_xlfn.XLOOKUP($A125,Sheet3!$B:$B,Sheet3!G:G,0)+_xlfn.XLOOKUP($A125,Sheet4!$B:$B,Sheet4!G:G,0)</f>
        <v>350</v>
      </c>
      <c r="AD125" s="6">
        <f>_xlfn.XLOOKUP($A125,Sheet5!$B:$B,Sheet5!G:G,0)+_xlfn.XLOOKUP($A125,Sheet6!$B:$B,Sheet6!G:G,0)</f>
        <v>192</v>
      </c>
      <c r="AE125" s="6">
        <f>_xlfn.XLOOKUP($A125,Sheet7!$B:$B,Sheet7!G:G,0)+_xlfn.XLOOKUP($A125,Sheet8!$B:$B,Sheet8!G:G,0)</f>
        <v>114</v>
      </c>
      <c r="AF125" s="6" cm="1">
        <f t="array" ref="AF125">SUM(IFERROR(AB125:AE125,0))</f>
        <v>803</v>
      </c>
      <c r="AG125" s="6">
        <f t="shared" si="1"/>
        <v>122</v>
      </c>
    </row>
    <row r="126" spans="1:33" ht="15.6" x14ac:dyDescent="0.3">
      <c r="A126" s="6" t="s">
        <v>447</v>
      </c>
      <c r="B126" s="6" t="str">
        <f>_xlfn.XLOOKUP($A126,Sheet3!$B:$B,Sheet3!D:D)</f>
        <v>广州大学附属中学</v>
      </c>
      <c r="C126" s="7" t="str">
        <f>_xlfn.XLOOKUP($A126,Sheet3!$B:$B,Sheet3!E:E)</f>
        <v>刘君仪</v>
      </c>
      <c r="D126" s="6">
        <f>_xlfn.XLOOKUP($A126,Sheet1!$B:$B,Sheet1!H:H)</f>
        <v>24</v>
      </c>
      <c r="E126" s="6">
        <f>_xlfn.XLOOKUP($A126,Sheet1!$B:$B,Sheet1!I:I)</f>
        <v>0</v>
      </c>
      <c r="F126" s="6">
        <f>_xlfn.XLOOKUP($A126,Sheet1!$B:$B,Sheet1!J:J)</f>
        <v>0</v>
      </c>
      <c r="G126" s="6">
        <f>_xlfn.XLOOKUP($A126,Sheet2!$B:$B,Sheet2!H:H)</f>
        <v>100</v>
      </c>
      <c r="H126" s="6">
        <f>_xlfn.XLOOKUP($A126,Sheet2!$B:$B,Sheet2!I:I)</f>
        <v>44</v>
      </c>
      <c r="I126" s="7">
        <f>_xlfn.XLOOKUP($A126,Sheet2!$B:$B,Sheet2!J:J)</f>
        <v>0</v>
      </c>
      <c r="J126" s="8">
        <f>_xlfn.XLOOKUP($A126,Sheet3!$B:$B,Sheet3!H:H)</f>
        <v>51</v>
      </c>
      <c r="K126" s="8">
        <f>_xlfn.XLOOKUP($A126,Sheet3!$B:$B,Sheet3!I:I)</f>
        <v>80</v>
      </c>
      <c r="L126" s="8">
        <f>_xlfn.XLOOKUP($A126,Sheet3!$B:$B,Sheet3!J:J)</f>
        <v>40</v>
      </c>
      <c r="M126" s="8">
        <f>_xlfn.XLOOKUP($A126,Sheet4!$B:$B,Sheet4!H:H)</f>
        <v>60</v>
      </c>
      <c r="N126" s="8">
        <f>_xlfn.XLOOKUP($A126,Sheet4!$B:$B,Sheet4!I:I)</f>
        <v>11</v>
      </c>
      <c r="O126" s="9">
        <f>_xlfn.XLOOKUP($A126,Sheet4!$B:$B,Sheet4!J:J)</f>
        <v>0</v>
      </c>
      <c r="P126" s="8">
        <f>_xlfn.XLOOKUP($A126,Sheet5!$B:$B,Sheet5!H:H)</f>
        <v>100</v>
      </c>
      <c r="Q126" s="8">
        <f>_xlfn.XLOOKUP($A126,Sheet5!$B:$B,Sheet5!I:I)</f>
        <v>0</v>
      </c>
      <c r="R126" s="8">
        <f>_xlfn.XLOOKUP($A126,Sheet5!$B:$B,Sheet5!J:J)</f>
        <v>0</v>
      </c>
      <c r="S126" s="8">
        <f>_xlfn.XLOOKUP($A126,Sheet6!$B:$B,Sheet6!H:H)</f>
        <v>100</v>
      </c>
      <c r="T126" s="8">
        <f>_xlfn.XLOOKUP($A126,Sheet6!$B:$B,Sheet6!I:I)</f>
        <v>36</v>
      </c>
      <c r="U126" s="9">
        <f>_xlfn.XLOOKUP($A126,Sheet6!$B:$B,Sheet6!J:J)</f>
        <v>24</v>
      </c>
      <c r="V126" s="8">
        <f>_xlfn.XLOOKUP($A126,Sheet7!$B:$B,Sheet7!H:H)</f>
        <v>30</v>
      </c>
      <c r="W126" s="8">
        <f>_xlfn.XLOOKUP($A126,Sheet7!$B:$B,Sheet7!I:I)</f>
        <v>0</v>
      </c>
      <c r="X126" s="8">
        <f>_xlfn.XLOOKUP($A126,Sheet7!$B:$B,Sheet7!J:J)</f>
        <v>0</v>
      </c>
      <c r="Y126" s="8">
        <f>_xlfn.XLOOKUP($A126,Sheet8!$B:$B,Sheet8!H:H)</f>
        <v>100</v>
      </c>
      <c r="Z126" s="8">
        <f>_xlfn.XLOOKUP($A126,Sheet8!$B:$B,Sheet8!I:I)</f>
        <v>0</v>
      </c>
      <c r="AA126" s="9">
        <f>_xlfn.XLOOKUP($A126,Sheet8!$B:$B,Sheet8!J:J)</f>
        <v>0</v>
      </c>
      <c r="AB126" s="6">
        <f>_xlfn.XLOOKUP($A126,Sheet1!$B:$B,Sheet1!G:G,0)+_xlfn.XLOOKUP($A126,Sheet2!$B:$B,Sheet2!G:G,0)</f>
        <v>168</v>
      </c>
      <c r="AC126" s="6">
        <f>_xlfn.XLOOKUP($A126,Sheet3!$B:$B,Sheet3!G:G,0)+_xlfn.XLOOKUP($A126,Sheet4!$B:$B,Sheet4!G:G,0)</f>
        <v>242</v>
      </c>
      <c r="AD126" s="6">
        <f>_xlfn.XLOOKUP($A126,Sheet5!$B:$B,Sheet5!G:G,0)+_xlfn.XLOOKUP($A126,Sheet6!$B:$B,Sheet6!G:G,0)</f>
        <v>260</v>
      </c>
      <c r="AE126" s="6">
        <f>_xlfn.XLOOKUP($A126,Sheet7!$B:$B,Sheet7!G:G,0)+_xlfn.XLOOKUP($A126,Sheet8!$B:$B,Sheet8!G:G,0)</f>
        <v>130</v>
      </c>
      <c r="AF126" s="6" cm="1">
        <f t="array" ref="AF126">SUM(IFERROR(AB126:AE126,0))</f>
        <v>800</v>
      </c>
      <c r="AG126" s="6">
        <f t="shared" si="1"/>
        <v>123</v>
      </c>
    </row>
    <row r="127" spans="1:33" ht="15.6" x14ac:dyDescent="0.3">
      <c r="A127" s="6" t="s">
        <v>476</v>
      </c>
      <c r="B127" s="6" t="str">
        <f>_xlfn.XLOOKUP($A127,Sheet3!$B:$B,Sheet3!D:D)</f>
        <v>广州大学附属中学</v>
      </c>
      <c r="C127" s="7" t="str">
        <f>_xlfn.XLOOKUP($A127,Sheet3!$B:$B,Sheet3!E:E)</f>
        <v>梁家齐</v>
      </c>
      <c r="D127" s="6">
        <f>_xlfn.XLOOKUP($A127,Sheet1!$B:$B,Sheet1!H:H)</f>
        <v>12</v>
      </c>
      <c r="E127" s="6">
        <f>_xlfn.XLOOKUP($A127,Sheet1!$B:$B,Sheet1!I:I)</f>
        <v>0</v>
      </c>
      <c r="F127" s="6">
        <f>_xlfn.XLOOKUP($A127,Sheet1!$B:$B,Sheet1!J:J)</f>
        <v>0</v>
      </c>
      <c r="G127" s="6">
        <f>_xlfn.XLOOKUP($A127,Sheet2!$B:$B,Sheet2!H:H)</f>
        <v>35</v>
      </c>
      <c r="H127" s="6">
        <f>_xlfn.XLOOKUP($A127,Sheet2!$B:$B,Sheet2!I:I)</f>
        <v>0</v>
      </c>
      <c r="I127" s="7">
        <f>_xlfn.XLOOKUP($A127,Sheet2!$B:$B,Sheet2!J:J)</f>
        <v>0</v>
      </c>
      <c r="J127" s="8">
        <f>_xlfn.XLOOKUP($A127,Sheet3!$B:$B,Sheet3!H:H)</f>
        <v>77</v>
      </c>
      <c r="K127" s="8">
        <f>_xlfn.XLOOKUP($A127,Sheet3!$B:$B,Sheet3!I:I)</f>
        <v>40</v>
      </c>
      <c r="L127" s="8">
        <f>_xlfn.XLOOKUP($A127,Sheet3!$B:$B,Sheet3!J:J)</f>
        <v>0</v>
      </c>
      <c r="M127" s="8">
        <f>_xlfn.XLOOKUP($A127,Sheet4!$B:$B,Sheet4!H:H)</f>
        <v>30</v>
      </c>
      <c r="N127" s="8">
        <f>_xlfn.XLOOKUP($A127,Sheet4!$B:$B,Sheet4!I:I)</f>
        <v>10</v>
      </c>
      <c r="O127" s="9">
        <f>_xlfn.XLOOKUP($A127,Sheet4!$B:$B,Sheet4!J:J)</f>
        <v>0</v>
      </c>
      <c r="P127" s="8">
        <f>_xlfn.XLOOKUP($A127,Sheet5!$B:$B,Sheet5!H:H)</f>
        <v>100</v>
      </c>
      <c r="Q127" s="8">
        <f>_xlfn.XLOOKUP($A127,Sheet5!$B:$B,Sheet5!I:I)</f>
        <v>32</v>
      </c>
      <c r="R127" s="8">
        <f>_xlfn.XLOOKUP($A127,Sheet5!$B:$B,Sheet5!J:J)</f>
        <v>10</v>
      </c>
      <c r="S127" s="8">
        <f>_xlfn.XLOOKUP($A127,Sheet6!$B:$B,Sheet6!H:H)</f>
        <v>100</v>
      </c>
      <c r="T127" s="8">
        <f>_xlfn.XLOOKUP($A127,Sheet6!$B:$B,Sheet6!I:I)</f>
        <v>36</v>
      </c>
      <c r="U127" s="9">
        <f>_xlfn.XLOOKUP($A127,Sheet6!$B:$B,Sheet6!J:J)</f>
        <v>100</v>
      </c>
      <c r="V127" s="8">
        <f>_xlfn.XLOOKUP($A127,Sheet7!$B:$B,Sheet7!H:H)</f>
        <v>30</v>
      </c>
      <c r="W127" s="8">
        <f>_xlfn.XLOOKUP($A127,Sheet7!$B:$B,Sheet7!I:I)</f>
        <v>0</v>
      </c>
      <c r="X127" s="8">
        <f>_xlfn.XLOOKUP($A127,Sheet7!$B:$B,Sheet7!J:J)</f>
        <v>61</v>
      </c>
      <c r="Y127" s="8">
        <f>_xlfn.XLOOKUP($A127,Sheet8!$B:$B,Sheet8!H:H)</f>
        <v>100</v>
      </c>
      <c r="Z127" s="8">
        <f>_xlfn.XLOOKUP($A127,Sheet8!$B:$B,Sheet8!I:I)</f>
        <v>0</v>
      </c>
      <c r="AA127" s="9">
        <f>_xlfn.XLOOKUP($A127,Sheet8!$B:$B,Sheet8!J:J)</f>
        <v>25</v>
      </c>
      <c r="AB127" s="6">
        <f>_xlfn.XLOOKUP($A127,Sheet1!$B:$B,Sheet1!G:G,0)+_xlfn.XLOOKUP($A127,Sheet2!$B:$B,Sheet2!G:G,0)</f>
        <v>47</v>
      </c>
      <c r="AC127" s="6">
        <f>_xlfn.XLOOKUP($A127,Sheet3!$B:$B,Sheet3!G:G,0)+_xlfn.XLOOKUP($A127,Sheet4!$B:$B,Sheet4!G:G,0)</f>
        <v>157</v>
      </c>
      <c r="AD127" s="6">
        <f>_xlfn.XLOOKUP($A127,Sheet5!$B:$B,Sheet5!G:G,0)+_xlfn.XLOOKUP($A127,Sheet6!$B:$B,Sheet6!G:G,0)</f>
        <v>378</v>
      </c>
      <c r="AE127" s="6">
        <f>_xlfn.XLOOKUP($A127,Sheet7!$B:$B,Sheet7!G:G,0)+_xlfn.XLOOKUP($A127,Sheet8!$B:$B,Sheet8!G:G,0)</f>
        <v>216</v>
      </c>
      <c r="AF127" s="6" cm="1">
        <f t="array" ref="AF127">SUM(IFERROR(AB127:AE127,0))</f>
        <v>798</v>
      </c>
      <c r="AG127" s="6">
        <f t="shared" si="1"/>
        <v>124</v>
      </c>
    </row>
    <row r="128" spans="1:33" ht="15.6" x14ac:dyDescent="0.3">
      <c r="A128" s="6" t="s">
        <v>317</v>
      </c>
      <c r="B128" s="6" t="str">
        <f>_xlfn.XLOOKUP($A128,Sheet3!$B:$B,Sheet3!D:D)</f>
        <v>中山市中山纪念中学</v>
      </c>
      <c r="C128" s="7" t="str">
        <f>_xlfn.XLOOKUP($A128,Sheet3!$B:$B,Sheet3!E:E)</f>
        <v>崔瑞麟</v>
      </c>
      <c r="D128" s="6">
        <f>_xlfn.XLOOKUP($A128,Sheet1!$B:$B,Sheet1!H:H)</f>
        <v>42</v>
      </c>
      <c r="E128" s="6">
        <f>_xlfn.XLOOKUP($A128,Sheet1!$B:$B,Sheet1!I:I)</f>
        <v>0</v>
      </c>
      <c r="F128" s="6">
        <f>_xlfn.XLOOKUP($A128,Sheet1!$B:$B,Sheet1!J:J)</f>
        <v>7</v>
      </c>
      <c r="G128" s="6">
        <f>_xlfn.XLOOKUP($A128,Sheet2!$B:$B,Sheet2!H:H)</f>
        <v>35</v>
      </c>
      <c r="H128" s="6">
        <f>_xlfn.XLOOKUP($A128,Sheet2!$B:$B,Sheet2!I:I)</f>
        <v>0</v>
      </c>
      <c r="I128" s="7">
        <f>_xlfn.XLOOKUP($A128,Sheet2!$B:$B,Sheet2!J:J)</f>
        <v>12</v>
      </c>
      <c r="J128" s="8">
        <f>_xlfn.XLOOKUP($A128,Sheet3!$B:$B,Sheet3!H:H)</f>
        <v>100</v>
      </c>
      <c r="K128" s="8">
        <f>_xlfn.XLOOKUP($A128,Sheet3!$B:$B,Sheet3!I:I)</f>
        <v>40</v>
      </c>
      <c r="L128" s="8">
        <f>_xlfn.XLOOKUP($A128,Sheet3!$B:$B,Sheet3!J:J)</f>
        <v>0</v>
      </c>
      <c r="M128" s="8">
        <f>_xlfn.XLOOKUP($A128,Sheet4!$B:$B,Sheet4!H:H)</f>
        <v>60</v>
      </c>
      <c r="N128" s="8">
        <f>_xlfn.XLOOKUP($A128,Sheet4!$B:$B,Sheet4!I:I)</f>
        <v>11</v>
      </c>
      <c r="O128" s="9">
        <f>_xlfn.XLOOKUP($A128,Sheet4!$B:$B,Sheet4!J:J)</f>
        <v>0</v>
      </c>
      <c r="P128" s="8">
        <f>_xlfn.XLOOKUP($A128,Sheet5!$B:$B,Sheet5!H:H)</f>
        <v>100</v>
      </c>
      <c r="Q128" s="8">
        <f>_xlfn.XLOOKUP($A128,Sheet5!$B:$B,Sheet5!I:I)</f>
        <v>32</v>
      </c>
      <c r="R128" s="8">
        <f>_xlfn.XLOOKUP($A128,Sheet5!$B:$B,Sheet5!J:J)</f>
        <v>0</v>
      </c>
      <c r="S128" s="8">
        <f>_xlfn.XLOOKUP($A128,Sheet6!$B:$B,Sheet6!H:H)</f>
        <v>100</v>
      </c>
      <c r="T128" s="8">
        <f>_xlfn.XLOOKUP($A128,Sheet6!$B:$B,Sheet6!I:I)</f>
        <v>100</v>
      </c>
      <c r="U128" s="9">
        <f>_xlfn.XLOOKUP($A128,Sheet6!$B:$B,Sheet6!J:J)</f>
        <v>24</v>
      </c>
      <c r="V128" s="8">
        <f>_xlfn.XLOOKUP($A128,Sheet7!$B:$B,Sheet7!H:H)</f>
        <v>100</v>
      </c>
      <c r="W128" s="8">
        <f>_xlfn.XLOOKUP($A128,Sheet7!$B:$B,Sheet7!I:I)</f>
        <v>10</v>
      </c>
      <c r="X128" s="8">
        <f>_xlfn.XLOOKUP($A128,Sheet7!$B:$B,Sheet7!J:J)</f>
        <v>0</v>
      </c>
      <c r="Y128" s="8">
        <f>_xlfn.XLOOKUP($A128,Sheet8!$B:$B,Sheet8!H:H)</f>
        <v>20</v>
      </c>
      <c r="Z128" s="8">
        <f>_xlfn.XLOOKUP($A128,Sheet8!$B:$B,Sheet8!I:I)</f>
        <v>0</v>
      </c>
      <c r="AA128" s="9">
        <f>_xlfn.XLOOKUP($A128,Sheet8!$B:$B,Sheet8!J:J)</f>
        <v>0</v>
      </c>
      <c r="AB128" s="6">
        <f>_xlfn.XLOOKUP($A128,Sheet1!$B:$B,Sheet1!G:G,0)+_xlfn.XLOOKUP($A128,Sheet2!$B:$B,Sheet2!G:G,0)</f>
        <v>96</v>
      </c>
      <c r="AC128" s="6">
        <f>_xlfn.XLOOKUP($A128,Sheet3!$B:$B,Sheet3!G:G,0)+_xlfn.XLOOKUP($A128,Sheet4!$B:$B,Sheet4!G:G,0)</f>
        <v>211</v>
      </c>
      <c r="AD128" s="6">
        <f>_xlfn.XLOOKUP($A128,Sheet5!$B:$B,Sheet5!G:G,0)+_xlfn.XLOOKUP($A128,Sheet6!$B:$B,Sheet6!G:G,0)</f>
        <v>356</v>
      </c>
      <c r="AE128" s="6">
        <f>_xlfn.XLOOKUP($A128,Sheet7!$B:$B,Sheet7!G:G,0)+_xlfn.XLOOKUP($A128,Sheet8!$B:$B,Sheet8!G:G,0)</f>
        <v>130</v>
      </c>
      <c r="AF128" s="6" cm="1">
        <f t="array" ref="AF128">SUM(IFERROR(AB128:AE128,0))</f>
        <v>793</v>
      </c>
      <c r="AG128" s="6">
        <f t="shared" si="1"/>
        <v>125</v>
      </c>
    </row>
    <row r="129" spans="1:33" ht="15.6" x14ac:dyDescent="0.3">
      <c r="A129" s="6" t="s">
        <v>131</v>
      </c>
      <c r="B129" s="6" t="str">
        <f>_xlfn.XLOOKUP($A129,Sheet3!$B:$B,Sheet3!D:D)</f>
        <v>广州市第二中学</v>
      </c>
      <c r="C129" s="7" t="str">
        <f>_xlfn.XLOOKUP($A129,Sheet3!$B:$B,Sheet3!E:E)</f>
        <v>刘泓睿</v>
      </c>
      <c r="D129" s="6">
        <f>_xlfn.XLOOKUP($A129,Sheet1!$B:$B,Sheet1!H:H)</f>
        <v>100</v>
      </c>
      <c r="E129" s="6">
        <f>_xlfn.XLOOKUP($A129,Sheet1!$B:$B,Sheet1!I:I)</f>
        <v>42</v>
      </c>
      <c r="F129" s="6">
        <f>_xlfn.XLOOKUP($A129,Sheet1!$B:$B,Sheet1!J:J)</f>
        <v>7</v>
      </c>
      <c r="G129" s="6">
        <f>_xlfn.XLOOKUP($A129,Sheet2!$B:$B,Sheet2!H:H)</f>
        <v>10</v>
      </c>
      <c r="H129" s="6">
        <f>_xlfn.XLOOKUP($A129,Sheet2!$B:$B,Sheet2!I:I)</f>
        <v>0</v>
      </c>
      <c r="I129" s="7">
        <f>_xlfn.XLOOKUP($A129,Sheet2!$B:$B,Sheet2!J:J)</f>
        <v>0</v>
      </c>
      <c r="J129" s="8">
        <f>_xlfn.XLOOKUP($A129,Sheet3!$B:$B,Sheet3!H:H)</f>
        <v>100</v>
      </c>
      <c r="K129" s="8">
        <f>_xlfn.XLOOKUP($A129,Sheet3!$B:$B,Sheet3!I:I)</f>
        <v>40</v>
      </c>
      <c r="L129" s="8">
        <f>_xlfn.XLOOKUP($A129,Sheet3!$B:$B,Sheet3!J:J)</f>
        <v>0</v>
      </c>
      <c r="M129" s="8">
        <f>_xlfn.XLOOKUP($A129,Sheet4!$B:$B,Sheet4!H:H)</f>
        <v>100</v>
      </c>
      <c r="N129" s="8">
        <f>_xlfn.XLOOKUP($A129,Sheet4!$B:$B,Sheet4!I:I)</f>
        <v>100</v>
      </c>
      <c r="O129" s="9">
        <f>_xlfn.XLOOKUP($A129,Sheet4!$B:$B,Sheet4!J:J)</f>
        <v>5</v>
      </c>
      <c r="P129" s="8">
        <f>_xlfn.XLOOKUP($A129,Sheet5!$B:$B,Sheet5!H:H)</f>
        <v>0</v>
      </c>
      <c r="Q129" s="8">
        <f>_xlfn.XLOOKUP($A129,Sheet5!$B:$B,Sheet5!I:I)</f>
        <v>0</v>
      </c>
      <c r="R129" s="8">
        <f>_xlfn.XLOOKUP($A129,Sheet5!$B:$B,Sheet5!J:J)</f>
        <v>0</v>
      </c>
      <c r="S129" s="8">
        <f>_xlfn.XLOOKUP($A129,Sheet6!$B:$B,Sheet6!H:H)</f>
        <v>100</v>
      </c>
      <c r="T129" s="8">
        <f>_xlfn.XLOOKUP($A129,Sheet6!$B:$B,Sheet6!I:I)</f>
        <v>36</v>
      </c>
      <c r="U129" s="9">
        <f>_xlfn.XLOOKUP($A129,Sheet6!$B:$B,Sheet6!J:J)</f>
        <v>0</v>
      </c>
      <c r="V129" s="8">
        <f>_xlfn.XLOOKUP($A129,Sheet7!$B:$B,Sheet7!H:H)</f>
        <v>50</v>
      </c>
      <c r="W129" s="8">
        <f>_xlfn.XLOOKUP($A129,Sheet7!$B:$B,Sheet7!I:I)</f>
        <v>0</v>
      </c>
      <c r="X129" s="8">
        <f>_xlfn.XLOOKUP($A129,Sheet7!$B:$B,Sheet7!J:J)</f>
        <v>0</v>
      </c>
      <c r="Y129" s="8">
        <f>_xlfn.XLOOKUP($A129,Sheet8!$B:$B,Sheet8!H:H)</f>
        <v>100</v>
      </c>
      <c r="Z129" s="8">
        <f>_xlfn.XLOOKUP($A129,Sheet8!$B:$B,Sheet8!I:I)</f>
        <v>0</v>
      </c>
      <c r="AA129" s="9">
        <f>_xlfn.XLOOKUP($A129,Sheet8!$B:$B,Sheet8!J:J)</f>
        <v>0</v>
      </c>
      <c r="AB129" s="6">
        <f>_xlfn.XLOOKUP($A129,Sheet1!$B:$B,Sheet1!G:G,0)+_xlfn.XLOOKUP($A129,Sheet2!$B:$B,Sheet2!G:G,0)</f>
        <v>159</v>
      </c>
      <c r="AC129" s="6">
        <f>_xlfn.XLOOKUP($A129,Sheet3!$B:$B,Sheet3!G:G,0)+_xlfn.XLOOKUP($A129,Sheet4!$B:$B,Sheet4!G:G,0)</f>
        <v>345</v>
      </c>
      <c r="AD129" s="6">
        <f>_xlfn.XLOOKUP($A129,Sheet5!$B:$B,Sheet5!G:G,0)+_xlfn.XLOOKUP($A129,Sheet6!$B:$B,Sheet6!G:G,0)</f>
        <v>136</v>
      </c>
      <c r="AE129" s="6">
        <f>_xlfn.XLOOKUP($A129,Sheet7!$B:$B,Sheet7!G:G,0)+_xlfn.XLOOKUP($A129,Sheet8!$B:$B,Sheet8!G:G,0)</f>
        <v>150</v>
      </c>
      <c r="AF129" s="6" cm="1">
        <f t="array" ref="AF129">SUM(IFERROR(AB129:AE129,0))</f>
        <v>790</v>
      </c>
      <c r="AG129" s="6">
        <f t="shared" si="1"/>
        <v>126</v>
      </c>
    </row>
    <row r="130" spans="1:33" ht="15.6" x14ac:dyDescent="0.3">
      <c r="A130" s="6" t="s">
        <v>94</v>
      </c>
      <c r="B130" s="6" t="str">
        <f>_xlfn.XLOOKUP($A130,Sheet3!$B:$B,Sheet3!D:D)</f>
        <v>北京市十一学校</v>
      </c>
      <c r="C130" s="7" t="str">
        <f>_xlfn.XLOOKUP($A130,Sheet3!$B:$B,Sheet3!E:E)</f>
        <v>岳双泽</v>
      </c>
      <c r="D130" s="6">
        <f>_xlfn.XLOOKUP($A130,Sheet1!$B:$B,Sheet1!H:H)</f>
        <v>100</v>
      </c>
      <c r="E130" s="6">
        <f>_xlfn.XLOOKUP($A130,Sheet1!$B:$B,Sheet1!I:I)</f>
        <v>66</v>
      </c>
      <c r="F130" s="6">
        <f>_xlfn.XLOOKUP($A130,Sheet1!$B:$B,Sheet1!J:J)</f>
        <v>0</v>
      </c>
      <c r="G130" s="6">
        <f>_xlfn.XLOOKUP($A130,Sheet2!$B:$B,Sheet2!H:H)</f>
        <v>100</v>
      </c>
      <c r="H130" s="6">
        <f>_xlfn.XLOOKUP($A130,Sheet2!$B:$B,Sheet2!I:I)</f>
        <v>0</v>
      </c>
      <c r="I130" s="7">
        <f>_xlfn.XLOOKUP($A130,Sheet2!$B:$B,Sheet2!J:J)</f>
        <v>15</v>
      </c>
      <c r="J130" s="8">
        <f>_xlfn.XLOOKUP($A130,Sheet3!$B:$B,Sheet3!H:H)</f>
        <v>78</v>
      </c>
      <c r="K130" s="8">
        <f>_xlfn.XLOOKUP($A130,Sheet3!$B:$B,Sheet3!I:I)</f>
        <v>40</v>
      </c>
      <c r="L130" s="8">
        <f>_xlfn.XLOOKUP($A130,Sheet3!$B:$B,Sheet3!J:J)</f>
        <v>40</v>
      </c>
      <c r="M130" s="8">
        <f>_xlfn.XLOOKUP($A130,Sheet4!$B:$B,Sheet4!H:H)</f>
        <v>60</v>
      </c>
      <c r="N130" s="8">
        <f>_xlfn.XLOOKUP($A130,Sheet4!$B:$B,Sheet4!I:I)</f>
        <v>10</v>
      </c>
      <c r="O130" s="9">
        <f>_xlfn.XLOOKUP($A130,Sheet4!$B:$B,Sheet4!J:J)</f>
        <v>100</v>
      </c>
      <c r="P130" s="8">
        <f>_xlfn.XLOOKUP($A130,Sheet5!$B:$B,Sheet5!H:H)</f>
        <v>45</v>
      </c>
      <c r="Q130" s="8">
        <f>_xlfn.XLOOKUP($A130,Sheet5!$B:$B,Sheet5!I:I)</f>
        <v>32</v>
      </c>
      <c r="R130" s="8">
        <f>_xlfn.XLOOKUP($A130,Sheet5!$B:$B,Sheet5!J:J)</f>
        <v>100</v>
      </c>
      <c r="S130" s="8">
        <f>_xlfn.XLOOKUP($A130,Sheet6!$B:$B,Sheet6!H:H)</f>
        <v>0</v>
      </c>
      <c r="T130" s="8">
        <f>_xlfn.XLOOKUP($A130,Sheet6!$B:$B,Sheet6!I:I)</f>
        <v>0</v>
      </c>
      <c r="U130" s="9">
        <f>_xlfn.XLOOKUP($A130,Sheet6!$B:$B,Sheet6!J:J)</f>
        <v>0</v>
      </c>
      <c r="V130" s="8" t="e">
        <f>_xlfn.XLOOKUP($A130,Sheet7!$B:$B,Sheet7!H:H)</f>
        <v>#N/A</v>
      </c>
      <c r="W130" s="8" t="e">
        <f>_xlfn.XLOOKUP($A130,Sheet7!$B:$B,Sheet7!I:I)</f>
        <v>#N/A</v>
      </c>
      <c r="X130" s="8" t="e">
        <f>_xlfn.XLOOKUP($A130,Sheet7!$B:$B,Sheet7!J:J)</f>
        <v>#N/A</v>
      </c>
      <c r="Y130" s="8" t="e">
        <f>_xlfn.XLOOKUP($A130,Sheet8!$B:$B,Sheet8!H:H)</f>
        <v>#N/A</v>
      </c>
      <c r="Z130" s="8" t="e">
        <f>_xlfn.XLOOKUP($A130,Sheet8!$B:$B,Sheet8!I:I)</f>
        <v>#N/A</v>
      </c>
      <c r="AA130" s="9" t="e">
        <f>_xlfn.XLOOKUP($A130,Sheet8!$B:$B,Sheet8!J:J)</f>
        <v>#N/A</v>
      </c>
      <c r="AB130" s="6">
        <f>_xlfn.XLOOKUP($A130,Sheet1!$B:$B,Sheet1!G:G,0)+_xlfn.XLOOKUP($A130,Sheet2!$B:$B,Sheet2!G:G,0)</f>
        <v>281</v>
      </c>
      <c r="AC130" s="6">
        <f>_xlfn.XLOOKUP($A130,Sheet3!$B:$B,Sheet3!G:G,0)+_xlfn.XLOOKUP($A130,Sheet4!$B:$B,Sheet4!G:G,0)</f>
        <v>328</v>
      </c>
      <c r="AD130" s="6">
        <f>_xlfn.XLOOKUP($A130,Sheet5!$B:$B,Sheet5!G:G,0)+_xlfn.XLOOKUP($A130,Sheet6!$B:$B,Sheet6!G:G,0)</f>
        <v>177</v>
      </c>
      <c r="AE130" s="6">
        <f>_xlfn.XLOOKUP($A130,Sheet7!$B:$B,Sheet7!G:G,0)+_xlfn.XLOOKUP($A130,Sheet8!$B:$B,Sheet8!G:G,0)</f>
        <v>0</v>
      </c>
      <c r="AF130" s="6" cm="1">
        <f t="array" ref="AF130">SUM(IFERROR(AB130:AE130,0))</f>
        <v>786</v>
      </c>
      <c r="AG130" s="6">
        <f t="shared" si="1"/>
        <v>127</v>
      </c>
    </row>
    <row r="131" spans="1:33" ht="15.6" x14ac:dyDescent="0.3">
      <c r="A131" s="6" t="s">
        <v>519</v>
      </c>
      <c r="B131" s="6" t="str">
        <f>_xlfn.XLOOKUP($A131,Sheet3!$B:$B,Sheet3!D:D)</f>
        <v>江苏省锡山高级中学</v>
      </c>
      <c r="C131" s="7" t="str">
        <f>_xlfn.XLOOKUP($A131,Sheet3!$B:$B,Sheet3!E:E)</f>
        <v>陶奕潇</v>
      </c>
      <c r="D131" s="6">
        <f>_xlfn.XLOOKUP($A131,Sheet1!$B:$B,Sheet1!H:H)</f>
        <v>0</v>
      </c>
      <c r="E131" s="6">
        <f>_xlfn.XLOOKUP($A131,Sheet1!$B:$B,Sheet1!I:I)</f>
        <v>0</v>
      </c>
      <c r="F131" s="6">
        <f>_xlfn.XLOOKUP($A131,Sheet1!$B:$B,Sheet1!J:J)</f>
        <v>0</v>
      </c>
      <c r="G131" s="6">
        <f>_xlfn.XLOOKUP($A131,Sheet2!$B:$B,Sheet2!H:H)</f>
        <v>100</v>
      </c>
      <c r="H131" s="6">
        <f>_xlfn.XLOOKUP($A131,Sheet2!$B:$B,Sheet2!I:I)</f>
        <v>0</v>
      </c>
      <c r="I131" s="7">
        <f>_xlfn.XLOOKUP($A131,Sheet2!$B:$B,Sheet2!J:J)</f>
        <v>0</v>
      </c>
      <c r="J131" s="8">
        <f>_xlfn.XLOOKUP($A131,Sheet3!$B:$B,Sheet3!H:H)</f>
        <v>100</v>
      </c>
      <c r="K131" s="8">
        <f>_xlfn.XLOOKUP($A131,Sheet3!$B:$B,Sheet3!I:I)</f>
        <v>0</v>
      </c>
      <c r="L131" s="8">
        <f>_xlfn.XLOOKUP($A131,Sheet3!$B:$B,Sheet3!J:J)</f>
        <v>0</v>
      </c>
      <c r="M131" s="8">
        <f>_xlfn.XLOOKUP($A131,Sheet4!$B:$B,Sheet4!H:H)</f>
        <v>10</v>
      </c>
      <c r="N131" s="8">
        <f>_xlfn.XLOOKUP($A131,Sheet4!$B:$B,Sheet4!I:I)</f>
        <v>11</v>
      </c>
      <c r="O131" s="9">
        <f>_xlfn.XLOOKUP($A131,Sheet4!$B:$B,Sheet4!J:J)</f>
        <v>100</v>
      </c>
      <c r="P131" s="8">
        <f>_xlfn.XLOOKUP($A131,Sheet5!$B:$B,Sheet5!H:H)</f>
        <v>5</v>
      </c>
      <c r="Q131" s="8">
        <f>_xlfn.XLOOKUP($A131,Sheet5!$B:$B,Sheet5!I:I)</f>
        <v>100</v>
      </c>
      <c r="R131" s="8">
        <f>_xlfn.XLOOKUP($A131,Sheet5!$B:$B,Sheet5!J:J)</f>
        <v>0</v>
      </c>
      <c r="S131" s="8">
        <f>_xlfn.XLOOKUP($A131,Sheet6!$B:$B,Sheet6!H:H)</f>
        <v>100</v>
      </c>
      <c r="T131" s="8">
        <f>_xlfn.XLOOKUP($A131,Sheet6!$B:$B,Sheet6!I:I)</f>
        <v>36</v>
      </c>
      <c r="U131" s="9">
        <f>_xlfn.XLOOKUP($A131,Sheet6!$B:$B,Sheet6!J:J)</f>
        <v>4</v>
      </c>
      <c r="V131" s="8">
        <f>_xlfn.XLOOKUP($A131,Sheet7!$B:$B,Sheet7!H:H)</f>
        <v>100</v>
      </c>
      <c r="W131" s="8">
        <f>_xlfn.XLOOKUP($A131,Sheet7!$B:$B,Sheet7!I:I)</f>
        <v>0</v>
      </c>
      <c r="X131" s="8">
        <f>_xlfn.XLOOKUP($A131,Sheet7!$B:$B,Sheet7!J:J)</f>
        <v>0</v>
      </c>
      <c r="Y131" s="8">
        <f>_xlfn.XLOOKUP($A131,Sheet8!$B:$B,Sheet8!H:H)</f>
        <v>100</v>
      </c>
      <c r="Z131" s="8">
        <f>_xlfn.XLOOKUP($A131,Sheet8!$B:$B,Sheet8!I:I)</f>
        <v>0</v>
      </c>
      <c r="AA131" s="9">
        <f>_xlfn.XLOOKUP($A131,Sheet8!$B:$B,Sheet8!J:J)</f>
        <v>0</v>
      </c>
      <c r="AB131" s="6">
        <f>_xlfn.XLOOKUP($A131,Sheet1!$B:$B,Sheet1!G:G,0)+_xlfn.XLOOKUP($A131,Sheet2!$B:$B,Sheet2!G:G,0)</f>
        <v>100</v>
      </c>
      <c r="AC131" s="6">
        <f>_xlfn.XLOOKUP($A131,Sheet3!$B:$B,Sheet3!G:G,0)+_xlfn.XLOOKUP($A131,Sheet4!$B:$B,Sheet4!G:G,0)</f>
        <v>221</v>
      </c>
      <c r="AD131" s="6">
        <f>_xlfn.XLOOKUP($A131,Sheet5!$B:$B,Sheet5!G:G,0)+_xlfn.XLOOKUP($A131,Sheet6!$B:$B,Sheet6!G:G,0)</f>
        <v>245</v>
      </c>
      <c r="AE131" s="6">
        <f>_xlfn.XLOOKUP($A131,Sheet7!$B:$B,Sheet7!G:G,0)+_xlfn.XLOOKUP($A131,Sheet8!$B:$B,Sheet8!G:G,0)</f>
        <v>200</v>
      </c>
      <c r="AF131" s="6" cm="1">
        <f t="array" ref="AF131">SUM(IFERROR(AB131:AE131,0))</f>
        <v>766</v>
      </c>
      <c r="AG131" s="6">
        <f t="shared" si="1"/>
        <v>128</v>
      </c>
    </row>
    <row r="132" spans="1:33" ht="15.6" x14ac:dyDescent="0.3">
      <c r="A132" s="6" t="s">
        <v>456</v>
      </c>
      <c r="B132" s="6" t="str">
        <f>_xlfn.XLOOKUP($A132,Sheet3!$B:$B,Sheet3!D:D)</f>
        <v>中山市中山纪念中学</v>
      </c>
      <c r="C132" s="7" t="str">
        <f>_xlfn.XLOOKUP($A132,Sheet3!$B:$B,Sheet3!E:E)</f>
        <v>蔡大为</v>
      </c>
      <c r="D132" s="6">
        <f>_xlfn.XLOOKUP($A132,Sheet1!$B:$B,Sheet1!H:H)</f>
        <v>24</v>
      </c>
      <c r="E132" s="6">
        <f>_xlfn.XLOOKUP($A132,Sheet1!$B:$B,Sheet1!I:I)</f>
        <v>0</v>
      </c>
      <c r="F132" s="6">
        <f>_xlfn.XLOOKUP($A132,Sheet1!$B:$B,Sheet1!J:J)</f>
        <v>0</v>
      </c>
      <c r="G132" s="6">
        <f>_xlfn.XLOOKUP($A132,Sheet2!$B:$B,Sheet2!H:H)</f>
        <v>100</v>
      </c>
      <c r="H132" s="6">
        <f>_xlfn.XLOOKUP($A132,Sheet2!$B:$B,Sheet2!I:I)</f>
        <v>0</v>
      </c>
      <c r="I132" s="7">
        <f>_xlfn.XLOOKUP($A132,Sheet2!$B:$B,Sheet2!J:J)</f>
        <v>12</v>
      </c>
      <c r="J132" s="8">
        <f>_xlfn.XLOOKUP($A132,Sheet3!$B:$B,Sheet3!H:H)</f>
        <v>100</v>
      </c>
      <c r="K132" s="8">
        <f>_xlfn.XLOOKUP($A132,Sheet3!$B:$B,Sheet3!I:I)</f>
        <v>40</v>
      </c>
      <c r="L132" s="8">
        <f>_xlfn.XLOOKUP($A132,Sheet3!$B:$B,Sheet3!J:J)</f>
        <v>0</v>
      </c>
      <c r="M132" s="8">
        <f>_xlfn.XLOOKUP($A132,Sheet4!$B:$B,Sheet4!H:H)</f>
        <v>100</v>
      </c>
      <c r="N132" s="8">
        <f>_xlfn.XLOOKUP($A132,Sheet4!$B:$B,Sheet4!I:I)</f>
        <v>10</v>
      </c>
      <c r="O132" s="9">
        <f>_xlfn.XLOOKUP($A132,Sheet4!$B:$B,Sheet4!J:J)</f>
        <v>1</v>
      </c>
      <c r="P132" s="8">
        <f>_xlfn.XLOOKUP($A132,Sheet5!$B:$B,Sheet5!H:H)</f>
        <v>70</v>
      </c>
      <c r="Q132" s="8">
        <f>_xlfn.XLOOKUP($A132,Sheet5!$B:$B,Sheet5!I:I)</f>
        <v>0</v>
      </c>
      <c r="R132" s="8">
        <f>_xlfn.XLOOKUP($A132,Sheet5!$B:$B,Sheet5!J:J)</f>
        <v>0</v>
      </c>
      <c r="S132" s="8">
        <f>_xlfn.XLOOKUP($A132,Sheet6!$B:$B,Sheet6!H:H)</f>
        <v>100</v>
      </c>
      <c r="T132" s="8">
        <f>_xlfn.XLOOKUP($A132,Sheet6!$B:$B,Sheet6!I:I)</f>
        <v>36</v>
      </c>
      <c r="U132" s="9">
        <f>_xlfn.XLOOKUP($A132,Sheet6!$B:$B,Sheet6!J:J)</f>
        <v>0</v>
      </c>
      <c r="V132" s="8">
        <f>_xlfn.XLOOKUP($A132,Sheet7!$B:$B,Sheet7!H:H)</f>
        <v>55</v>
      </c>
      <c r="W132" s="8">
        <f>_xlfn.XLOOKUP($A132,Sheet7!$B:$B,Sheet7!I:I)</f>
        <v>0</v>
      </c>
      <c r="X132" s="8">
        <f>_xlfn.XLOOKUP($A132,Sheet7!$B:$B,Sheet7!J:J)</f>
        <v>0</v>
      </c>
      <c r="Y132" s="8">
        <f>_xlfn.XLOOKUP($A132,Sheet8!$B:$B,Sheet8!H:H)</f>
        <v>100</v>
      </c>
      <c r="Z132" s="8">
        <f>_xlfn.XLOOKUP($A132,Sheet8!$B:$B,Sheet8!I:I)</f>
        <v>0</v>
      </c>
      <c r="AA132" s="9">
        <f>_xlfn.XLOOKUP($A132,Sheet8!$B:$B,Sheet8!J:J)</f>
        <v>0</v>
      </c>
      <c r="AB132" s="6">
        <f>_xlfn.XLOOKUP($A132,Sheet1!$B:$B,Sheet1!G:G,0)+_xlfn.XLOOKUP($A132,Sheet2!$B:$B,Sheet2!G:G,0)</f>
        <v>136</v>
      </c>
      <c r="AC132" s="6">
        <f>_xlfn.XLOOKUP($A132,Sheet3!$B:$B,Sheet3!G:G,0)+_xlfn.XLOOKUP($A132,Sheet4!$B:$B,Sheet4!G:G,0)</f>
        <v>251</v>
      </c>
      <c r="AD132" s="6">
        <f>_xlfn.XLOOKUP($A132,Sheet5!$B:$B,Sheet5!G:G,0)+_xlfn.XLOOKUP($A132,Sheet6!$B:$B,Sheet6!G:G,0)</f>
        <v>206</v>
      </c>
      <c r="AE132" s="6">
        <f>_xlfn.XLOOKUP($A132,Sheet7!$B:$B,Sheet7!G:G,0)+_xlfn.XLOOKUP($A132,Sheet8!$B:$B,Sheet8!G:G,0)</f>
        <v>155</v>
      </c>
      <c r="AF132" s="6" cm="1">
        <f t="array" ref="AF132">SUM(IFERROR(AB132:AE132,0))</f>
        <v>748</v>
      </c>
      <c r="AG132" s="6">
        <f t="shared" si="1"/>
        <v>129</v>
      </c>
    </row>
    <row r="133" spans="1:33" ht="15.6" x14ac:dyDescent="0.3">
      <c r="A133" s="6" t="s">
        <v>423</v>
      </c>
      <c r="B133" s="6" t="str">
        <f>_xlfn.XLOOKUP($A133,Sheet3!$B:$B,Sheet3!D:D)</f>
        <v>中山市石岐中学</v>
      </c>
      <c r="C133" s="7" t="str">
        <f>_xlfn.XLOOKUP($A133,Sheet3!$B:$B,Sheet3!E:E)</f>
        <v>严谨</v>
      </c>
      <c r="D133" s="6">
        <f>_xlfn.XLOOKUP($A133,Sheet1!$B:$B,Sheet1!H:H)</f>
        <v>24</v>
      </c>
      <c r="E133" s="6">
        <f>_xlfn.XLOOKUP($A133,Sheet1!$B:$B,Sheet1!I:I)</f>
        <v>0</v>
      </c>
      <c r="F133" s="6">
        <f>_xlfn.XLOOKUP($A133,Sheet1!$B:$B,Sheet1!J:J)</f>
        <v>0</v>
      </c>
      <c r="G133" s="6">
        <f>_xlfn.XLOOKUP($A133,Sheet2!$B:$B,Sheet2!H:H)</f>
        <v>100</v>
      </c>
      <c r="H133" s="6">
        <f>_xlfn.XLOOKUP($A133,Sheet2!$B:$B,Sheet2!I:I)</f>
        <v>0</v>
      </c>
      <c r="I133" s="7">
        <f>_xlfn.XLOOKUP($A133,Sheet2!$B:$B,Sheet2!J:J)</f>
        <v>12</v>
      </c>
      <c r="J133" s="8">
        <f>_xlfn.XLOOKUP($A133,Sheet3!$B:$B,Sheet3!H:H)</f>
        <v>100</v>
      </c>
      <c r="K133" s="8">
        <f>_xlfn.XLOOKUP($A133,Sheet3!$B:$B,Sheet3!I:I)</f>
        <v>0</v>
      </c>
      <c r="L133" s="8">
        <f>_xlfn.XLOOKUP($A133,Sheet3!$B:$B,Sheet3!J:J)</f>
        <v>40</v>
      </c>
      <c r="M133" s="8">
        <f>_xlfn.XLOOKUP($A133,Sheet4!$B:$B,Sheet4!H:H)</f>
        <v>0</v>
      </c>
      <c r="N133" s="8">
        <f>_xlfn.XLOOKUP($A133,Sheet4!$B:$B,Sheet4!I:I)</f>
        <v>11</v>
      </c>
      <c r="O133" s="9">
        <f>_xlfn.XLOOKUP($A133,Sheet4!$B:$B,Sheet4!J:J)</f>
        <v>0</v>
      </c>
      <c r="P133" s="8">
        <f>_xlfn.XLOOKUP($A133,Sheet5!$B:$B,Sheet5!H:H)</f>
        <v>35</v>
      </c>
      <c r="Q133" s="8">
        <f>_xlfn.XLOOKUP($A133,Sheet5!$B:$B,Sheet5!I:I)</f>
        <v>0</v>
      </c>
      <c r="R133" s="8">
        <f>_xlfn.XLOOKUP($A133,Sheet5!$B:$B,Sheet5!J:J)</f>
        <v>0</v>
      </c>
      <c r="S133" s="8">
        <f>_xlfn.XLOOKUP($A133,Sheet6!$B:$B,Sheet6!H:H)</f>
        <v>100</v>
      </c>
      <c r="T133" s="8">
        <f>_xlfn.XLOOKUP($A133,Sheet6!$B:$B,Sheet6!I:I)</f>
        <v>36</v>
      </c>
      <c r="U133" s="9">
        <f>_xlfn.XLOOKUP($A133,Sheet6!$B:$B,Sheet6!J:J)</f>
        <v>64</v>
      </c>
      <c r="V133" s="8">
        <f>_xlfn.XLOOKUP($A133,Sheet7!$B:$B,Sheet7!H:H)</f>
        <v>100</v>
      </c>
      <c r="W133" s="8">
        <f>_xlfn.XLOOKUP($A133,Sheet7!$B:$B,Sheet7!I:I)</f>
        <v>0</v>
      </c>
      <c r="X133" s="8">
        <f>_xlfn.XLOOKUP($A133,Sheet7!$B:$B,Sheet7!J:J)</f>
        <v>0</v>
      </c>
      <c r="Y133" s="8">
        <f>_xlfn.XLOOKUP($A133,Sheet8!$B:$B,Sheet8!H:H)</f>
        <v>100</v>
      </c>
      <c r="Z133" s="8">
        <f>_xlfn.XLOOKUP($A133,Sheet8!$B:$B,Sheet8!I:I)</f>
        <v>0</v>
      </c>
      <c r="AA133" s="9">
        <f>_xlfn.XLOOKUP($A133,Sheet8!$B:$B,Sheet8!J:J)</f>
        <v>0</v>
      </c>
      <c r="AB133" s="6">
        <f>_xlfn.XLOOKUP($A133,Sheet1!$B:$B,Sheet1!G:G,0)+_xlfn.XLOOKUP($A133,Sheet2!$B:$B,Sheet2!G:G,0)</f>
        <v>136</v>
      </c>
      <c r="AC133" s="6">
        <f>_xlfn.XLOOKUP($A133,Sheet3!$B:$B,Sheet3!G:G,0)+_xlfn.XLOOKUP($A133,Sheet4!$B:$B,Sheet4!G:G,0)</f>
        <v>151</v>
      </c>
      <c r="AD133" s="6">
        <f>_xlfn.XLOOKUP($A133,Sheet5!$B:$B,Sheet5!G:G,0)+_xlfn.XLOOKUP($A133,Sheet6!$B:$B,Sheet6!G:G,0)</f>
        <v>235</v>
      </c>
      <c r="AE133" s="6">
        <f>_xlfn.XLOOKUP($A133,Sheet7!$B:$B,Sheet7!G:G,0)+_xlfn.XLOOKUP($A133,Sheet8!$B:$B,Sheet8!G:G,0)</f>
        <v>200</v>
      </c>
      <c r="AF133" s="6" cm="1">
        <f t="array" ref="AF133">SUM(IFERROR(AB133:AE133,0))</f>
        <v>722</v>
      </c>
      <c r="AG133" s="6">
        <f t="shared" ref="AG133:AG166" si="2">RANK(AF133, $AF$4:$AF$166)</f>
        <v>130</v>
      </c>
    </row>
    <row r="134" spans="1:33" ht="15.6" x14ac:dyDescent="0.3">
      <c r="A134" s="6" t="s">
        <v>546</v>
      </c>
      <c r="B134" s="6" t="str">
        <f>_xlfn.XLOOKUP($A134,Sheet3!$B:$B,Sheet3!D:D)</f>
        <v>佛山市南海区狮山镇英才学校</v>
      </c>
      <c r="C134" s="7" t="str">
        <f>_xlfn.XLOOKUP($A134,Sheet3!$B:$B,Sheet3!E:E)</f>
        <v>宁浩天</v>
      </c>
      <c r="D134" s="6" t="e">
        <f>_xlfn.XLOOKUP($A134,Sheet1!$B:$B,Sheet1!H:H)</f>
        <v>#N/A</v>
      </c>
      <c r="E134" s="6" t="e">
        <f>_xlfn.XLOOKUP($A134,Sheet1!$B:$B,Sheet1!I:I)</f>
        <v>#N/A</v>
      </c>
      <c r="F134" s="6" t="e">
        <f>_xlfn.XLOOKUP($A134,Sheet1!$B:$B,Sheet1!J:J)</f>
        <v>#N/A</v>
      </c>
      <c r="G134" s="6">
        <f>_xlfn.XLOOKUP($A134,Sheet2!$B:$B,Sheet2!H:H)</f>
        <v>35</v>
      </c>
      <c r="H134" s="6">
        <f>_xlfn.XLOOKUP($A134,Sheet2!$B:$B,Sheet2!I:I)</f>
        <v>0</v>
      </c>
      <c r="I134" s="7">
        <f>_xlfn.XLOOKUP($A134,Sheet2!$B:$B,Sheet2!J:J)</f>
        <v>12</v>
      </c>
      <c r="J134" s="8">
        <f>_xlfn.XLOOKUP($A134,Sheet3!$B:$B,Sheet3!H:H)</f>
        <v>100</v>
      </c>
      <c r="K134" s="8">
        <f>_xlfn.XLOOKUP($A134,Sheet3!$B:$B,Sheet3!I:I)</f>
        <v>40</v>
      </c>
      <c r="L134" s="8">
        <f>_xlfn.XLOOKUP($A134,Sheet3!$B:$B,Sheet3!J:J)</f>
        <v>10</v>
      </c>
      <c r="M134" s="8">
        <f>_xlfn.XLOOKUP($A134,Sheet4!$B:$B,Sheet4!H:H)</f>
        <v>100</v>
      </c>
      <c r="N134" s="8">
        <f>_xlfn.XLOOKUP($A134,Sheet4!$B:$B,Sheet4!I:I)</f>
        <v>11</v>
      </c>
      <c r="O134" s="9">
        <f>_xlfn.XLOOKUP($A134,Sheet4!$B:$B,Sheet4!J:J)</f>
        <v>1</v>
      </c>
      <c r="P134" s="8">
        <f>_xlfn.XLOOKUP($A134,Sheet5!$B:$B,Sheet5!H:H)</f>
        <v>100</v>
      </c>
      <c r="Q134" s="8">
        <f>_xlfn.XLOOKUP($A134,Sheet5!$B:$B,Sheet5!I:I)</f>
        <v>32</v>
      </c>
      <c r="R134" s="8">
        <f>_xlfn.XLOOKUP($A134,Sheet5!$B:$B,Sheet5!J:J)</f>
        <v>0</v>
      </c>
      <c r="S134" s="8">
        <f>_xlfn.XLOOKUP($A134,Sheet6!$B:$B,Sheet6!H:H)</f>
        <v>100</v>
      </c>
      <c r="T134" s="8">
        <f>_xlfn.XLOOKUP($A134,Sheet6!$B:$B,Sheet6!I:I)</f>
        <v>36</v>
      </c>
      <c r="U134" s="9">
        <f>_xlfn.XLOOKUP($A134,Sheet6!$B:$B,Sheet6!J:J)</f>
        <v>0</v>
      </c>
      <c r="V134" s="8">
        <f>_xlfn.XLOOKUP($A134,Sheet7!$B:$B,Sheet7!H:H)</f>
        <v>30</v>
      </c>
      <c r="W134" s="8">
        <f>_xlfn.XLOOKUP($A134,Sheet7!$B:$B,Sheet7!I:I)</f>
        <v>0</v>
      </c>
      <c r="X134" s="8">
        <f>_xlfn.XLOOKUP($A134,Sheet7!$B:$B,Sheet7!J:J)</f>
        <v>0</v>
      </c>
      <c r="Y134" s="8">
        <f>_xlfn.XLOOKUP($A134,Sheet8!$B:$B,Sheet8!H:H)</f>
        <v>100</v>
      </c>
      <c r="Z134" s="8">
        <f>_xlfn.XLOOKUP($A134,Sheet8!$B:$B,Sheet8!I:I)</f>
        <v>0</v>
      </c>
      <c r="AA134" s="9">
        <f>_xlfn.XLOOKUP($A134,Sheet8!$B:$B,Sheet8!J:J)</f>
        <v>0</v>
      </c>
      <c r="AB134" s="6">
        <f>_xlfn.XLOOKUP($A134,Sheet1!$B:$B,Sheet1!G:G,0)+_xlfn.XLOOKUP($A134,Sheet2!$B:$B,Sheet2!G:G,0)</f>
        <v>47</v>
      </c>
      <c r="AC134" s="6">
        <f>_xlfn.XLOOKUP($A134,Sheet3!$B:$B,Sheet3!G:G,0)+_xlfn.XLOOKUP($A134,Sheet4!$B:$B,Sheet4!G:G,0)</f>
        <v>262</v>
      </c>
      <c r="AD134" s="6">
        <f>_xlfn.XLOOKUP($A134,Sheet5!$B:$B,Sheet5!G:G,0)+_xlfn.XLOOKUP($A134,Sheet6!$B:$B,Sheet6!G:G,0)</f>
        <v>268</v>
      </c>
      <c r="AE134" s="6">
        <f>_xlfn.XLOOKUP($A134,Sheet7!$B:$B,Sheet7!G:G,0)+_xlfn.XLOOKUP($A134,Sheet8!$B:$B,Sheet8!G:G,0)</f>
        <v>130</v>
      </c>
      <c r="AF134" s="6" cm="1">
        <f t="array" ref="AF134">SUM(IFERROR(AB134:AE134,0))</f>
        <v>707</v>
      </c>
      <c r="AG134" s="6">
        <f t="shared" si="2"/>
        <v>131</v>
      </c>
    </row>
    <row r="135" spans="1:33" ht="15.6" x14ac:dyDescent="0.3">
      <c r="A135" s="6" t="s">
        <v>510</v>
      </c>
      <c r="B135" s="6" t="str">
        <f>_xlfn.XLOOKUP($A135,Sheet3!$B:$B,Sheet3!D:D)</f>
        <v>中山市石岐中学</v>
      </c>
      <c r="C135" s="7" t="str">
        <f>_xlfn.XLOOKUP($A135,Sheet3!$B:$B,Sheet3!E:E)</f>
        <v>钟宇杰</v>
      </c>
      <c r="D135" s="6">
        <f>_xlfn.XLOOKUP($A135,Sheet1!$B:$B,Sheet1!H:H)</f>
        <v>0</v>
      </c>
      <c r="E135" s="6">
        <f>_xlfn.XLOOKUP($A135,Sheet1!$B:$B,Sheet1!I:I)</f>
        <v>0</v>
      </c>
      <c r="F135" s="6">
        <f>_xlfn.XLOOKUP($A135,Sheet1!$B:$B,Sheet1!J:J)</f>
        <v>0</v>
      </c>
      <c r="G135" s="6">
        <f>_xlfn.XLOOKUP($A135,Sheet2!$B:$B,Sheet2!H:H)</f>
        <v>35</v>
      </c>
      <c r="H135" s="6">
        <f>_xlfn.XLOOKUP($A135,Sheet2!$B:$B,Sheet2!I:I)</f>
        <v>0</v>
      </c>
      <c r="I135" s="7">
        <f>_xlfn.XLOOKUP($A135,Sheet2!$B:$B,Sheet2!J:J)</f>
        <v>0</v>
      </c>
      <c r="J135" s="8">
        <f>_xlfn.XLOOKUP($A135,Sheet3!$B:$B,Sheet3!H:H)</f>
        <v>77</v>
      </c>
      <c r="K135" s="8">
        <f>_xlfn.XLOOKUP($A135,Sheet3!$B:$B,Sheet3!I:I)</f>
        <v>60</v>
      </c>
      <c r="L135" s="8">
        <f>_xlfn.XLOOKUP($A135,Sheet3!$B:$B,Sheet3!J:J)</f>
        <v>40</v>
      </c>
      <c r="M135" s="8">
        <f>_xlfn.XLOOKUP($A135,Sheet4!$B:$B,Sheet4!H:H)</f>
        <v>30</v>
      </c>
      <c r="N135" s="8">
        <f>_xlfn.XLOOKUP($A135,Sheet4!$B:$B,Sheet4!I:I)</f>
        <v>10</v>
      </c>
      <c r="O135" s="9">
        <f>_xlfn.XLOOKUP($A135,Sheet4!$B:$B,Sheet4!J:J)</f>
        <v>5</v>
      </c>
      <c r="P135" s="8">
        <f>_xlfn.XLOOKUP($A135,Sheet5!$B:$B,Sheet5!H:H)</f>
        <v>100</v>
      </c>
      <c r="Q135" s="8">
        <f>_xlfn.XLOOKUP($A135,Sheet5!$B:$B,Sheet5!I:I)</f>
        <v>32</v>
      </c>
      <c r="R135" s="8">
        <f>_xlfn.XLOOKUP($A135,Sheet5!$B:$B,Sheet5!J:J)</f>
        <v>0</v>
      </c>
      <c r="S135" s="8">
        <f>_xlfn.XLOOKUP($A135,Sheet6!$B:$B,Sheet6!H:H)</f>
        <v>60</v>
      </c>
      <c r="T135" s="8">
        <f>_xlfn.XLOOKUP($A135,Sheet6!$B:$B,Sheet6!I:I)</f>
        <v>100</v>
      </c>
      <c r="U135" s="9">
        <f>_xlfn.XLOOKUP($A135,Sheet6!$B:$B,Sheet6!J:J)</f>
        <v>0</v>
      </c>
      <c r="V135" s="8">
        <f>_xlfn.XLOOKUP($A135,Sheet7!$B:$B,Sheet7!H:H)</f>
        <v>30</v>
      </c>
      <c r="W135" s="8">
        <f>_xlfn.XLOOKUP($A135,Sheet7!$B:$B,Sheet7!I:I)</f>
        <v>40</v>
      </c>
      <c r="X135" s="8">
        <f>_xlfn.XLOOKUP($A135,Sheet7!$B:$B,Sheet7!J:J)</f>
        <v>0</v>
      </c>
      <c r="Y135" s="8">
        <f>_xlfn.XLOOKUP($A135,Sheet8!$B:$B,Sheet8!H:H)</f>
        <v>70</v>
      </c>
      <c r="Z135" s="8">
        <f>_xlfn.XLOOKUP($A135,Sheet8!$B:$B,Sheet8!I:I)</f>
        <v>0</v>
      </c>
      <c r="AA135" s="9">
        <f>_xlfn.XLOOKUP($A135,Sheet8!$B:$B,Sheet8!J:J)</f>
        <v>0</v>
      </c>
      <c r="AB135" s="6">
        <f>_xlfn.XLOOKUP($A135,Sheet1!$B:$B,Sheet1!G:G,0)+_xlfn.XLOOKUP($A135,Sheet2!$B:$B,Sheet2!G:G,0)</f>
        <v>35</v>
      </c>
      <c r="AC135" s="6">
        <f>_xlfn.XLOOKUP($A135,Sheet3!$B:$B,Sheet3!G:G,0)+_xlfn.XLOOKUP($A135,Sheet4!$B:$B,Sheet4!G:G,0)</f>
        <v>222</v>
      </c>
      <c r="AD135" s="6">
        <f>_xlfn.XLOOKUP($A135,Sheet5!$B:$B,Sheet5!G:G,0)+_xlfn.XLOOKUP($A135,Sheet6!$B:$B,Sheet6!G:G,0)</f>
        <v>292</v>
      </c>
      <c r="AE135" s="6">
        <f>_xlfn.XLOOKUP($A135,Sheet7!$B:$B,Sheet7!G:G,0)+_xlfn.XLOOKUP($A135,Sheet8!$B:$B,Sheet8!G:G,0)</f>
        <v>140</v>
      </c>
      <c r="AF135" s="6" cm="1">
        <f t="array" ref="AF135">SUM(IFERROR(AB135:AE135,0))</f>
        <v>689</v>
      </c>
      <c r="AG135" s="6">
        <f t="shared" si="2"/>
        <v>132</v>
      </c>
    </row>
    <row r="136" spans="1:33" ht="15.6" x14ac:dyDescent="0.3">
      <c r="A136" s="6" t="s">
        <v>463</v>
      </c>
      <c r="B136" s="6" t="str">
        <f>_xlfn.XLOOKUP($A136,Sheet3!$B:$B,Sheet3!D:D)</f>
        <v>广东实验中学</v>
      </c>
      <c r="C136" s="7" t="str">
        <f>_xlfn.XLOOKUP($A136,Sheet3!$B:$B,Sheet3!E:E)</f>
        <v>江牧川</v>
      </c>
      <c r="D136" s="6">
        <f>_xlfn.XLOOKUP($A136,Sheet1!$B:$B,Sheet1!H:H)</f>
        <v>24</v>
      </c>
      <c r="E136" s="6">
        <f>_xlfn.XLOOKUP($A136,Sheet1!$B:$B,Sheet1!I:I)</f>
        <v>0</v>
      </c>
      <c r="F136" s="6">
        <f>_xlfn.XLOOKUP($A136,Sheet1!$B:$B,Sheet1!J:J)</f>
        <v>0</v>
      </c>
      <c r="G136" s="6">
        <f>_xlfn.XLOOKUP($A136,Sheet2!$B:$B,Sheet2!H:H)</f>
        <v>20</v>
      </c>
      <c r="H136" s="6">
        <f>_xlfn.XLOOKUP($A136,Sheet2!$B:$B,Sheet2!I:I)</f>
        <v>0</v>
      </c>
      <c r="I136" s="7">
        <f>_xlfn.XLOOKUP($A136,Sheet2!$B:$B,Sheet2!J:J)</f>
        <v>12</v>
      </c>
      <c r="J136" s="8">
        <f>_xlfn.XLOOKUP($A136,Sheet3!$B:$B,Sheet3!H:H)</f>
        <v>83</v>
      </c>
      <c r="K136" s="8">
        <f>_xlfn.XLOOKUP($A136,Sheet3!$B:$B,Sheet3!I:I)</f>
        <v>40</v>
      </c>
      <c r="L136" s="8">
        <f>_xlfn.XLOOKUP($A136,Sheet3!$B:$B,Sheet3!J:J)</f>
        <v>0</v>
      </c>
      <c r="M136" s="8">
        <f>_xlfn.XLOOKUP($A136,Sheet4!$B:$B,Sheet4!H:H)</f>
        <v>100</v>
      </c>
      <c r="N136" s="8">
        <f>_xlfn.XLOOKUP($A136,Sheet4!$B:$B,Sheet4!I:I)</f>
        <v>0</v>
      </c>
      <c r="O136" s="9">
        <f>_xlfn.XLOOKUP($A136,Sheet4!$B:$B,Sheet4!J:J)</f>
        <v>0</v>
      </c>
      <c r="P136" s="8">
        <f>_xlfn.XLOOKUP($A136,Sheet5!$B:$B,Sheet5!H:H)</f>
        <v>100</v>
      </c>
      <c r="Q136" s="8">
        <f>_xlfn.XLOOKUP($A136,Sheet5!$B:$B,Sheet5!I:I)</f>
        <v>32</v>
      </c>
      <c r="R136" s="8">
        <f>_xlfn.XLOOKUP($A136,Sheet5!$B:$B,Sheet5!J:J)</f>
        <v>0</v>
      </c>
      <c r="S136" s="8">
        <f>_xlfn.XLOOKUP($A136,Sheet6!$B:$B,Sheet6!H:H)</f>
        <v>100</v>
      </c>
      <c r="T136" s="8">
        <f>_xlfn.XLOOKUP($A136,Sheet6!$B:$B,Sheet6!I:I)</f>
        <v>60</v>
      </c>
      <c r="U136" s="9">
        <f>_xlfn.XLOOKUP($A136,Sheet6!$B:$B,Sheet6!J:J)</f>
        <v>0</v>
      </c>
      <c r="V136" s="8">
        <f>_xlfn.XLOOKUP($A136,Sheet7!$B:$B,Sheet7!H:H)</f>
        <v>15</v>
      </c>
      <c r="W136" s="8">
        <f>_xlfn.XLOOKUP($A136,Sheet7!$B:$B,Sheet7!I:I)</f>
        <v>0</v>
      </c>
      <c r="X136" s="8">
        <f>_xlfn.XLOOKUP($A136,Sheet7!$B:$B,Sheet7!J:J)</f>
        <v>0</v>
      </c>
      <c r="Y136" s="8">
        <f>_xlfn.XLOOKUP($A136,Sheet8!$B:$B,Sheet8!H:H)</f>
        <v>100</v>
      </c>
      <c r="Z136" s="8">
        <f>_xlfn.XLOOKUP($A136,Sheet8!$B:$B,Sheet8!I:I)</f>
        <v>0</v>
      </c>
      <c r="AA136" s="9">
        <f>_xlfn.XLOOKUP($A136,Sheet8!$B:$B,Sheet8!J:J)</f>
        <v>0</v>
      </c>
      <c r="AB136" s="6">
        <f>_xlfn.XLOOKUP($A136,Sheet1!$B:$B,Sheet1!G:G,0)+_xlfn.XLOOKUP($A136,Sheet2!$B:$B,Sheet2!G:G,0)</f>
        <v>56</v>
      </c>
      <c r="AC136" s="6">
        <f>_xlfn.XLOOKUP($A136,Sheet3!$B:$B,Sheet3!G:G,0)+_xlfn.XLOOKUP($A136,Sheet4!$B:$B,Sheet4!G:G,0)</f>
        <v>223</v>
      </c>
      <c r="AD136" s="6">
        <f>_xlfn.XLOOKUP($A136,Sheet5!$B:$B,Sheet5!G:G,0)+_xlfn.XLOOKUP($A136,Sheet6!$B:$B,Sheet6!G:G,0)</f>
        <v>292</v>
      </c>
      <c r="AE136" s="6">
        <f>_xlfn.XLOOKUP($A136,Sheet7!$B:$B,Sheet7!G:G,0)+_xlfn.XLOOKUP($A136,Sheet8!$B:$B,Sheet8!G:G,0)</f>
        <v>115</v>
      </c>
      <c r="AF136" s="6" cm="1">
        <f t="array" ref="AF136">SUM(IFERROR(AB136:AE136,0))</f>
        <v>686</v>
      </c>
      <c r="AG136" s="6">
        <f t="shared" si="2"/>
        <v>133</v>
      </c>
    </row>
    <row r="137" spans="1:33" ht="15.6" x14ac:dyDescent="0.3">
      <c r="A137" s="6" t="s">
        <v>403</v>
      </c>
      <c r="B137" s="6" t="str">
        <f>_xlfn.XLOOKUP($A137,Sheet3!$B:$B,Sheet3!D:D)</f>
        <v>北京大学附属中学</v>
      </c>
      <c r="C137" s="7" t="str">
        <f>_xlfn.XLOOKUP($A137,Sheet3!$B:$B,Sheet3!E:E)</f>
        <v>王心怡</v>
      </c>
      <c r="D137" s="6">
        <f>_xlfn.XLOOKUP($A137,Sheet1!$B:$B,Sheet1!H:H)</f>
        <v>24</v>
      </c>
      <c r="E137" s="6">
        <f>_xlfn.XLOOKUP($A137,Sheet1!$B:$B,Sheet1!I:I)</f>
        <v>0</v>
      </c>
      <c r="F137" s="6">
        <f>_xlfn.XLOOKUP($A137,Sheet1!$B:$B,Sheet1!J:J)</f>
        <v>0</v>
      </c>
      <c r="G137" s="6">
        <f>_xlfn.XLOOKUP($A137,Sheet2!$B:$B,Sheet2!H:H)</f>
        <v>20</v>
      </c>
      <c r="H137" s="6">
        <f>_xlfn.XLOOKUP($A137,Sheet2!$B:$B,Sheet2!I:I)</f>
        <v>8</v>
      </c>
      <c r="I137" s="7">
        <f>_xlfn.XLOOKUP($A137,Sheet2!$B:$B,Sheet2!J:J)</f>
        <v>0</v>
      </c>
      <c r="J137" s="8">
        <f>_xlfn.XLOOKUP($A137,Sheet3!$B:$B,Sheet3!H:H)</f>
        <v>100</v>
      </c>
      <c r="K137" s="8">
        <f>_xlfn.XLOOKUP($A137,Sheet3!$B:$B,Sheet3!I:I)</f>
        <v>40</v>
      </c>
      <c r="L137" s="8">
        <f>_xlfn.XLOOKUP($A137,Sheet3!$B:$B,Sheet3!J:J)</f>
        <v>20</v>
      </c>
      <c r="M137" s="8">
        <f>_xlfn.XLOOKUP($A137,Sheet4!$B:$B,Sheet4!H:H)</f>
        <v>60</v>
      </c>
      <c r="N137" s="8">
        <f>_xlfn.XLOOKUP($A137,Sheet4!$B:$B,Sheet4!I:I)</f>
        <v>10</v>
      </c>
      <c r="O137" s="9">
        <f>_xlfn.XLOOKUP($A137,Sheet4!$B:$B,Sheet4!J:J)</f>
        <v>1</v>
      </c>
      <c r="P137" s="8">
        <f>_xlfn.XLOOKUP($A137,Sheet5!$B:$B,Sheet5!H:H)</f>
        <v>100</v>
      </c>
      <c r="Q137" s="8">
        <f>_xlfn.XLOOKUP($A137,Sheet5!$B:$B,Sheet5!I:I)</f>
        <v>32</v>
      </c>
      <c r="R137" s="8">
        <f>_xlfn.XLOOKUP($A137,Sheet5!$B:$B,Sheet5!J:J)</f>
        <v>0</v>
      </c>
      <c r="S137" s="8">
        <f>_xlfn.XLOOKUP($A137,Sheet6!$B:$B,Sheet6!H:H)</f>
        <v>60</v>
      </c>
      <c r="T137" s="8">
        <f>_xlfn.XLOOKUP($A137,Sheet6!$B:$B,Sheet6!I:I)</f>
        <v>36</v>
      </c>
      <c r="U137" s="9">
        <f>_xlfn.XLOOKUP($A137,Sheet6!$B:$B,Sheet6!J:J)</f>
        <v>8</v>
      </c>
      <c r="V137" s="8">
        <f>_xlfn.XLOOKUP($A137,Sheet7!$B:$B,Sheet7!H:H)</f>
        <v>50</v>
      </c>
      <c r="W137" s="8">
        <f>_xlfn.XLOOKUP($A137,Sheet7!$B:$B,Sheet7!I:I)</f>
        <v>0</v>
      </c>
      <c r="X137" s="8">
        <f>_xlfn.XLOOKUP($A137,Sheet7!$B:$B,Sheet7!J:J)</f>
        <v>14</v>
      </c>
      <c r="Y137" s="8">
        <f>_xlfn.XLOOKUP($A137,Sheet8!$B:$B,Sheet8!H:H)</f>
        <v>100</v>
      </c>
      <c r="Z137" s="8">
        <f>_xlfn.XLOOKUP($A137,Sheet8!$B:$B,Sheet8!I:I)</f>
        <v>0</v>
      </c>
      <c r="AA137" s="9">
        <f>_xlfn.XLOOKUP($A137,Sheet8!$B:$B,Sheet8!J:J)</f>
        <v>0</v>
      </c>
      <c r="AB137" s="6">
        <f>_xlfn.XLOOKUP($A137,Sheet1!$B:$B,Sheet1!G:G,0)+_xlfn.XLOOKUP($A137,Sheet2!$B:$B,Sheet2!G:G,0)</f>
        <v>52</v>
      </c>
      <c r="AC137" s="6">
        <f>_xlfn.XLOOKUP($A137,Sheet3!$B:$B,Sheet3!G:G,0)+_xlfn.XLOOKUP($A137,Sheet4!$B:$B,Sheet4!G:G,0)</f>
        <v>231</v>
      </c>
      <c r="AD137" s="6">
        <f>_xlfn.XLOOKUP($A137,Sheet5!$B:$B,Sheet5!G:G,0)+_xlfn.XLOOKUP($A137,Sheet6!$B:$B,Sheet6!G:G,0)</f>
        <v>236</v>
      </c>
      <c r="AE137" s="6">
        <f>_xlfn.XLOOKUP($A137,Sheet7!$B:$B,Sheet7!G:G,0)+_xlfn.XLOOKUP($A137,Sheet8!$B:$B,Sheet8!G:G,0)</f>
        <v>164</v>
      </c>
      <c r="AF137" s="6" cm="1">
        <f t="array" ref="AF137">SUM(IFERROR(AB137:AE137,0))</f>
        <v>683</v>
      </c>
      <c r="AG137" s="6">
        <f t="shared" si="2"/>
        <v>134</v>
      </c>
    </row>
    <row r="138" spans="1:33" ht="15.6" x14ac:dyDescent="0.3">
      <c r="A138" s="6" t="s">
        <v>394</v>
      </c>
      <c r="B138" s="6" t="str">
        <f>_xlfn.XLOOKUP($A138,Sheet3!$B:$B,Sheet3!D:D)</f>
        <v>中山市中山纪念中学</v>
      </c>
      <c r="C138" s="7" t="str">
        <f>_xlfn.XLOOKUP($A138,Sheet3!$B:$B,Sheet3!E:E)</f>
        <v>周行健</v>
      </c>
      <c r="D138" s="6">
        <f>_xlfn.XLOOKUP($A138,Sheet1!$B:$B,Sheet1!H:H)</f>
        <v>30</v>
      </c>
      <c r="E138" s="6">
        <f>_xlfn.XLOOKUP($A138,Sheet1!$B:$B,Sheet1!I:I)</f>
        <v>0</v>
      </c>
      <c r="F138" s="6">
        <f>_xlfn.XLOOKUP($A138,Sheet1!$B:$B,Sheet1!J:J)</f>
        <v>0</v>
      </c>
      <c r="G138" s="6">
        <f>_xlfn.XLOOKUP($A138,Sheet2!$B:$B,Sheet2!H:H)</f>
        <v>35</v>
      </c>
      <c r="H138" s="6">
        <f>_xlfn.XLOOKUP($A138,Sheet2!$B:$B,Sheet2!I:I)</f>
        <v>20</v>
      </c>
      <c r="I138" s="7">
        <f>_xlfn.XLOOKUP($A138,Sheet2!$B:$B,Sheet2!J:J)</f>
        <v>0</v>
      </c>
      <c r="J138" s="8">
        <f>_xlfn.XLOOKUP($A138,Sheet3!$B:$B,Sheet3!H:H)</f>
        <v>84</v>
      </c>
      <c r="K138" s="8">
        <f>_xlfn.XLOOKUP($A138,Sheet3!$B:$B,Sheet3!I:I)</f>
        <v>20</v>
      </c>
      <c r="L138" s="8">
        <f>_xlfn.XLOOKUP($A138,Sheet3!$B:$B,Sheet3!J:J)</f>
        <v>0</v>
      </c>
      <c r="M138" s="8">
        <f>_xlfn.XLOOKUP($A138,Sheet4!$B:$B,Sheet4!H:H)</f>
        <v>60</v>
      </c>
      <c r="N138" s="8">
        <f>_xlfn.XLOOKUP($A138,Sheet4!$B:$B,Sheet4!I:I)</f>
        <v>11</v>
      </c>
      <c r="O138" s="9">
        <f>_xlfn.XLOOKUP($A138,Sheet4!$B:$B,Sheet4!J:J)</f>
        <v>1</v>
      </c>
      <c r="P138" s="8">
        <f>_xlfn.XLOOKUP($A138,Sheet5!$B:$B,Sheet5!H:H)</f>
        <v>45</v>
      </c>
      <c r="Q138" s="8">
        <f>_xlfn.XLOOKUP($A138,Sheet5!$B:$B,Sheet5!I:I)</f>
        <v>32</v>
      </c>
      <c r="R138" s="8">
        <f>_xlfn.XLOOKUP($A138,Sheet5!$B:$B,Sheet5!J:J)</f>
        <v>10</v>
      </c>
      <c r="S138" s="8">
        <f>_xlfn.XLOOKUP($A138,Sheet6!$B:$B,Sheet6!H:H)</f>
        <v>100</v>
      </c>
      <c r="T138" s="8">
        <f>_xlfn.XLOOKUP($A138,Sheet6!$B:$B,Sheet6!I:I)</f>
        <v>100</v>
      </c>
      <c r="U138" s="9">
        <f>_xlfn.XLOOKUP($A138,Sheet6!$B:$B,Sheet6!J:J)</f>
        <v>0</v>
      </c>
      <c r="V138" s="8">
        <f>_xlfn.XLOOKUP($A138,Sheet7!$B:$B,Sheet7!H:H)</f>
        <v>15</v>
      </c>
      <c r="W138" s="8">
        <f>_xlfn.XLOOKUP($A138,Sheet7!$B:$B,Sheet7!I:I)</f>
        <v>10</v>
      </c>
      <c r="X138" s="8">
        <f>_xlfn.XLOOKUP($A138,Sheet7!$B:$B,Sheet7!J:J)</f>
        <v>0</v>
      </c>
      <c r="Y138" s="8">
        <f>_xlfn.XLOOKUP($A138,Sheet8!$B:$B,Sheet8!H:H)</f>
        <v>100</v>
      </c>
      <c r="Z138" s="8">
        <f>_xlfn.XLOOKUP($A138,Sheet8!$B:$B,Sheet8!I:I)</f>
        <v>0</v>
      </c>
      <c r="AA138" s="9">
        <f>_xlfn.XLOOKUP($A138,Sheet8!$B:$B,Sheet8!J:J)</f>
        <v>0</v>
      </c>
      <c r="AB138" s="6">
        <f>_xlfn.XLOOKUP($A138,Sheet1!$B:$B,Sheet1!G:G,0)+_xlfn.XLOOKUP($A138,Sheet2!$B:$B,Sheet2!G:G,0)</f>
        <v>85</v>
      </c>
      <c r="AC138" s="6">
        <f>_xlfn.XLOOKUP($A138,Sheet3!$B:$B,Sheet3!G:G,0)+_xlfn.XLOOKUP($A138,Sheet4!$B:$B,Sheet4!G:G,0)</f>
        <v>176</v>
      </c>
      <c r="AD138" s="6">
        <f>_xlfn.XLOOKUP($A138,Sheet5!$B:$B,Sheet5!G:G,0)+_xlfn.XLOOKUP($A138,Sheet6!$B:$B,Sheet6!G:G,0)</f>
        <v>287</v>
      </c>
      <c r="AE138" s="6">
        <f>_xlfn.XLOOKUP($A138,Sheet7!$B:$B,Sheet7!G:G,0)+_xlfn.XLOOKUP($A138,Sheet8!$B:$B,Sheet8!G:G,0)</f>
        <v>125</v>
      </c>
      <c r="AF138" s="6" cm="1">
        <f t="array" ref="AF138">SUM(IFERROR(AB138:AE138,0))</f>
        <v>673</v>
      </c>
      <c r="AG138" s="6">
        <f t="shared" si="2"/>
        <v>135</v>
      </c>
    </row>
    <row r="139" spans="1:33" ht="15.6" x14ac:dyDescent="0.3">
      <c r="A139" s="6" t="s">
        <v>485</v>
      </c>
      <c r="B139" s="6" t="str">
        <f>_xlfn.XLOOKUP($A139,Sheet3!$B:$B,Sheet3!D:D)</f>
        <v>深圳中学</v>
      </c>
      <c r="C139" s="7" t="str">
        <f>_xlfn.XLOOKUP($A139,Sheet3!$B:$B,Sheet3!E:E)</f>
        <v>舒浩轩</v>
      </c>
      <c r="D139" s="6">
        <f>_xlfn.XLOOKUP($A139,Sheet1!$B:$B,Sheet1!H:H)</f>
        <v>12</v>
      </c>
      <c r="E139" s="6">
        <f>_xlfn.XLOOKUP($A139,Sheet1!$B:$B,Sheet1!I:I)</f>
        <v>0</v>
      </c>
      <c r="F139" s="6">
        <f>_xlfn.XLOOKUP($A139,Sheet1!$B:$B,Sheet1!J:J)</f>
        <v>0</v>
      </c>
      <c r="G139" s="6">
        <f>_xlfn.XLOOKUP($A139,Sheet2!$B:$B,Sheet2!H:H)</f>
        <v>100</v>
      </c>
      <c r="H139" s="6">
        <f>_xlfn.XLOOKUP($A139,Sheet2!$B:$B,Sheet2!I:I)</f>
        <v>0</v>
      </c>
      <c r="I139" s="7">
        <f>_xlfn.XLOOKUP($A139,Sheet2!$B:$B,Sheet2!J:J)</f>
        <v>12</v>
      </c>
      <c r="J139" s="8">
        <f>_xlfn.XLOOKUP($A139,Sheet3!$B:$B,Sheet3!H:H)</f>
        <v>100</v>
      </c>
      <c r="K139" s="8">
        <f>_xlfn.XLOOKUP($A139,Sheet3!$B:$B,Sheet3!I:I)</f>
        <v>20</v>
      </c>
      <c r="L139" s="8">
        <f>_xlfn.XLOOKUP($A139,Sheet3!$B:$B,Sheet3!J:J)</f>
        <v>40</v>
      </c>
      <c r="M139" s="8">
        <f>_xlfn.XLOOKUP($A139,Sheet4!$B:$B,Sheet4!H:H)</f>
        <v>30</v>
      </c>
      <c r="N139" s="8">
        <f>_xlfn.XLOOKUP($A139,Sheet4!$B:$B,Sheet4!I:I)</f>
        <v>11</v>
      </c>
      <c r="O139" s="9">
        <f>_xlfn.XLOOKUP($A139,Sheet4!$B:$B,Sheet4!J:J)</f>
        <v>0</v>
      </c>
      <c r="P139" s="8">
        <f>_xlfn.XLOOKUP($A139,Sheet5!$B:$B,Sheet5!H:H)</f>
        <v>80</v>
      </c>
      <c r="Q139" s="8">
        <f>_xlfn.XLOOKUP($A139,Sheet5!$B:$B,Sheet5!I:I)</f>
        <v>0</v>
      </c>
      <c r="R139" s="8">
        <f>_xlfn.XLOOKUP($A139,Sheet5!$B:$B,Sheet5!J:J)</f>
        <v>0</v>
      </c>
      <c r="S139" s="8">
        <f>_xlfn.XLOOKUP($A139,Sheet6!$B:$B,Sheet6!H:H)</f>
        <v>100</v>
      </c>
      <c r="T139" s="8">
        <f>_xlfn.XLOOKUP($A139,Sheet6!$B:$B,Sheet6!I:I)</f>
        <v>16</v>
      </c>
      <c r="U139" s="9">
        <f>_xlfn.XLOOKUP($A139,Sheet6!$B:$B,Sheet6!J:J)</f>
        <v>36</v>
      </c>
      <c r="V139" s="8">
        <f>_xlfn.XLOOKUP($A139,Sheet7!$B:$B,Sheet7!H:H)</f>
        <v>100</v>
      </c>
      <c r="W139" s="8">
        <f>_xlfn.XLOOKUP($A139,Sheet7!$B:$B,Sheet7!I:I)</f>
        <v>0</v>
      </c>
      <c r="X139" s="8">
        <f>_xlfn.XLOOKUP($A139,Sheet7!$B:$B,Sheet7!J:J)</f>
        <v>0</v>
      </c>
      <c r="Y139" s="8">
        <f>_xlfn.XLOOKUP($A139,Sheet8!$B:$B,Sheet8!H:H)</f>
        <v>5</v>
      </c>
      <c r="Z139" s="8">
        <f>_xlfn.XLOOKUP($A139,Sheet8!$B:$B,Sheet8!I:I)</f>
        <v>0</v>
      </c>
      <c r="AA139" s="9">
        <f>_xlfn.XLOOKUP($A139,Sheet8!$B:$B,Sheet8!J:J)</f>
        <v>10</v>
      </c>
      <c r="AB139" s="6">
        <f>_xlfn.XLOOKUP($A139,Sheet1!$B:$B,Sheet1!G:G,0)+_xlfn.XLOOKUP($A139,Sheet2!$B:$B,Sheet2!G:G,0)</f>
        <v>124</v>
      </c>
      <c r="AC139" s="6">
        <f>_xlfn.XLOOKUP($A139,Sheet3!$B:$B,Sheet3!G:G,0)+_xlfn.XLOOKUP($A139,Sheet4!$B:$B,Sheet4!G:G,0)</f>
        <v>201</v>
      </c>
      <c r="AD139" s="6">
        <f>_xlfn.XLOOKUP($A139,Sheet5!$B:$B,Sheet5!G:G,0)+_xlfn.XLOOKUP($A139,Sheet6!$B:$B,Sheet6!G:G,0)</f>
        <v>232</v>
      </c>
      <c r="AE139" s="6">
        <f>_xlfn.XLOOKUP($A139,Sheet7!$B:$B,Sheet7!G:G,0)+_xlfn.XLOOKUP($A139,Sheet8!$B:$B,Sheet8!G:G,0)</f>
        <v>115</v>
      </c>
      <c r="AF139" s="6" cm="1">
        <f t="array" ref="AF139">SUM(IFERROR(AB139:AE139,0))</f>
        <v>672</v>
      </c>
      <c r="AG139" s="6">
        <f t="shared" si="2"/>
        <v>136</v>
      </c>
    </row>
    <row r="140" spans="1:33" ht="15.6" x14ac:dyDescent="0.3">
      <c r="A140" s="6" t="s">
        <v>563</v>
      </c>
      <c r="B140" s="6" t="str">
        <f>_xlfn.XLOOKUP($A140,Sheet3!$B:$B,Sheet3!D:D)</f>
        <v>中山市三鑫学校</v>
      </c>
      <c r="C140" s="7" t="str">
        <f>_xlfn.XLOOKUP($A140,Sheet3!$B:$B,Sheet3!E:E)</f>
        <v>程奕霖</v>
      </c>
      <c r="D140" s="6" t="e">
        <f>_xlfn.XLOOKUP($A140,Sheet1!$B:$B,Sheet1!H:H)</f>
        <v>#N/A</v>
      </c>
      <c r="E140" s="6" t="e">
        <f>_xlfn.XLOOKUP($A140,Sheet1!$B:$B,Sheet1!I:I)</f>
        <v>#N/A</v>
      </c>
      <c r="F140" s="6" t="e">
        <f>_xlfn.XLOOKUP($A140,Sheet1!$B:$B,Sheet1!J:J)</f>
        <v>#N/A</v>
      </c>
      <c r="G140" s="6">
        <f>_xlfn.XLOOKUP($A140,Sheet2!$B:$B,Sheet2!H:H)</f>
        <v>10</v>
      </c>
      <c r="H140" s="6">
        <f>_xlfn.XLOOKUP($A140,Sheet2!$B:$B,Sheet2!I:I)</f>
        <v>0</v>
      </c>
      <c r="I140" s="7">
        <f>_xlfn.XLOOKUP($A140,Sheet2!$B:$B,Sheet2!J:J)</f>
        <v>0</v>
      </c>
      <c r="J140" s="8">
        <f>_xlfn.XLOOKUP($A140,Sheet3!$B:$B,Sheet3!H:H)</f>
        <v>100</v>
      </c>
      <c r="K140" s="8">
        <f>_xlfn.XLOOKUP($A140,Sheet3!$B:$B,Sheet3!I:I)</f>
        <v>40</v>
      </c>
      <c r="L140" s="8">
        <f>_xlfn.XLOOKUP($A140,Sheet3!$B:$B,Sheet3!J:J)</f>
        <v>0</v>
      </c>
      <c r="M140" s="8">
        <f>_xlfn.XLOOKUP($A140,Sheet4!$B:$B,Sheet4!H:H)</f>
        <v>60</v>
      </c>
      <c r="N140" s="8">
        <f>_xlfn.XLOOKUP($A140,Sheet4!$B:$B,Sheet4!I:I)</f>
        <v>11</v>
      </c>
      <c r="O140" s="9">
        <f>_xlfn.XLOOKUP($A140,Sheet4!$B:$B,Sheet4!J:J)</f>
        <v>5</v>
      </c>
      <c r="P140" s="8">
        <f>_xlfn.XLOOKUP($A140,Sheet5!$B:$B,Sheet5!H:H)</f>
        <v>100</v>
      </c>
      <c r="Q140" s="8">
        <f>_xlfn.XLOOKUP($A140,Sheet5!$B:$B,Sheet5!I:I)</f>
        <v>32</v>
      </c>
      <c r="R140" s="8">
        <f>_xlfn.XLOOKUP($A140,Sheet5!$B:$B,Sheet5!J:J)</f>
        <v>10</v>
      </c>
      <c r="S140" s="8">
        <f>_xlfn.XLOOKUP($A140,Sheet6!$B:$B,Sheet6!H:H)</f>
        <v>100</v>
      </c>
      <c r="T140" s="8">
        <f>_xlfn.XLOOKUP($A140,Sheet6!$B:$B,Sheet6!I:I)</f>
        <v>36</v>
      </c>
      <c r="U140" s="9">
        <f>_xlfn.XLOOKUP($A140,Sheet6!$B:$B,Sheet6!J:J)</f>
        <v>24</v>
      </c>
      <c r="V140" s="8">
        <f>_xlfn.XLOOKUP($A140,Sheet7!$B:$B,Sheet7!H:H)</f>
        <v>55</v>
      </c>
      <c r="W140" s="8">
        <f>_xlfn.XLOOKUP($A140,Sheet7!$B:$B,Sheet7!I:I)</f>
        <v>0</v>
      </c>
      <c r="X140" s="8">
        <f>_xlfn.XLOOKUP($A140,Sheet7!$B:$B,Sheet7!J:J)</f>
        <v>0</v>
      </c>
      <c r="Y140" s="8">
        <f>_xlfn.XLOOKUP($A140,Sheet8!$B:$B,Sheet8!H:H)</f>
        <v>75</v>
      </c>
      <c r="Z140" s="8">
        <f>_xlfn.XLOOKUP($A140,Sheet8!$B:$B,Sheet8!I:I)</f>
        <v>0</v>
      </c>
      <c r="AA140" s="9">
        <f>_xlfn.XLOOKUP($A140,Sheet8!$B:$B,Sheet8!J:J)</f>
        <v>0</v>
      </c>
      <c r="AB140" s="6">
        <f>_xlfn.XLOOKUP($A140,Sheet1!$B:$B,Sheet1!G:G,0)+_xlfn.XLOOKUP($A140,Sheet2!$B:$B,Sheet2!G:G,0)</f>
        <v>10</v>
      </c>
      <c r="AC140" s="6">
        <f>_xlfn.XLOOKUP($A140,Sheet3!$B:$B,Sheet3!G:G,0)+_xlfn.XLOOKUP($A140,Sheet4!$B:$B,Sheet4!G:G,0)</f>
        <v>216</v>
      </c>
      <c r="AD140" s="6">
        <f>_xlfn.XLOOKUP($A140,Sheet5!$B:$B,Sheet5!G:G,0)+_xlfn.XLOOKUP($A140,Sheet6!$B:$B,Sheet6!G:G,0)</f>
        <v>302</v>
      </c>
      <c r="AE140" s="6">
        <f>_xlfn.XLOOKUP($A140,Sheet7!$B:$B,Sheet7!G:G,0)+_xlfn.XLOOKUP($A140,Sheet8!$B:$B,Sheet8!G:G,0)</f>
        <v>130</v>
      </c>
      <c r="AF140" s="6" cm="1">
        <f t="array" ref="AF140">SUM(IFERROR(AB140:AE140,0))</f>
        <v>658</v>
      </c>
      <c r="AG140" s="6">
        <f t="shared" si="2"/>
        <v>137</v>
      </c>
    </row>
    <row r="141" spans="1:33" ht="15.6" x14ac:dyDescent="0.3">
      <c r="A141" s="6" t="s">
        <v>416</v>
      </c>
      <c r="B141" s="6" t="str">
        <f>_xlfn.XLOOKUP($A141,Sheet3!$B:$B,Sheet3!D:D)</f>
        <v>深圳市高级中学</v>
      </c>
      <c r="C141" s="7" t="str">
        <f>_xlfn.XLOOKUP($A141,Sheet3!$B:$B,Sheet3!E:E)</f>
        <v>梁意森</v>
      </c>
      <c r="D141" s="6">
        <f>_xlfn.XLOOKUP($A141,Sheet1!$B:$B,Sheet1!H:H)</f>
        <v>24</v>
      </c>
      <c r="E141" s="6">
        <f>_xlfn.XLOOKUP($A141,Sheet1!$B:$B,Sheet1!I:I)</f>
        <v>0</v>
      </c>
      <c r="F141" s="6">
        <f>_xlfn.XLOOKUP($A141,Sheet1!$B:$B,Sheet1!J:J)</f>
        <v>0</v>
      </c>
      <c r="G141" s="6">
        <f>_xlfn.XLOOKUP($A141,Sheet2!$B:$B,Sheet2!H:H)</f>
        <v>100</v>
      </c>
      <c r="H141" s="6">
        <f>_xlfn.XLOOKUP($A141,Sheet2!$B:$B,Sheet2!I:I)</f>
        <v>0</v>
      </c>
      <c r="I141" s="7">
        <f>_xlfn.XLOOKUP($A141,Sheet2!$B:$B,Sheet2!J:J)</f>
        <v>0</v>
      </c>
      <c r="J141" s="8">
        <f>_xlfn.XLOOKUP($A141,Sheet3!$B:$B,Sheet3!H:H)</f>
        <v>100</v>
      </c>
      <c r="K141" s="8">
        <f>_xlfn.XLOOKUP($A141,Sheet3!$B:$B,Sheet3!I:I)</f>
        <v>40</v>
      </c>
      <c r="L141" s="8">
        <f>_xlfn.XLOOKUP($A141,Sheet3!$B:$B,Sheet3!J:J)</f>
        <v>0</v>
      </c>
      <c r="M141" s="8">
        <f>_xlfn.XLOOKUP($A141,Sheet4!$B:$B,Sheet4!H:H)</f>
        <v>60</v>
      </c>
      <c r="N141" s="8">
        <f>_xlfn.XLOOKUP($A141,Sheet4!$B:$B,Sheet4!I:I)</f>
        <v>0</v>
      </c>
      <c r="O141" s="9">
        <f>_xlfn.XLOOKUP($A141,Sheet4!$B:$B,Sheet4!J:J)</f>
        <v>0</v>
      </c>
      <c r="P141" s="8">
        <f>_xlfn.XLOOKUP($A141,Sheet5!$B:$B,Sheet5!H:H)</f>
        <v>100</v>
      </c>
      <c r="Q141" s="8">
        <f>_xlfn.XLOOKUP($A141,Sheet5!$B:$B,Sheet5!I:I)</f>
        <v>0</v>
      </c>
      <c r="R141" s="8">
        <f>_xlfn.XLOOKUP($A141,Sheet5!$B:$B,Sheet5!J:J)</f>
        <v>0</v>
      </c>
      <c r="S141" s="8">
        <f>_xlfn.XLOOKUP($A141,Sheet6!$B:$B,Sheet6!H:H)</f>
        <v>100</v>
      </c>
      <c r="T141" s="8">
        <f>_xlfn.XLOOKUP($A141,Sheet6!$B:$B,Sheet6!I:I)</f>
        <v>36</v>
      </c>
      <c r="U141" s="9">
        <f>_xlfn.XLOOKUP($A141,Sheet6!$B:$B,Sheet6!J:J)</f>
        <v>16</v>
      </c>
      <c r="V141" s="8">
        <f>_xlfn.XLOOKUP($A141,Sheet7!$B:$B,Sheet7!H:H)</f>
        <v>50</v>
      </c>
      <c r="W141" s="8">
        <f>_xlfn.XLOOKUP($A141,Sheet7!$B:$B,Sheet7!I:I)</f>
        <v>0</v>
      </c>
      <c r="X141" s="8">
        <f>_xlfn.XLOOKUP($A141,Sheet7!$B:$B,Sheet7!J:J)</f>
        <v>0</v>
      </c>
      <c r="Y141" s="8">
        <f>_xlfn.XLOOKUP($A141,Sheet8!$B:$B,Sheet8!H:H)</f>
        <v>0</v>
      </c>
      <c r="Z141" s="8">
        <f>_xlfn.XLOOKUP($A141,Sheet8!$B:$B,Sheet8!I:I)</f>
        <v>0</v>
      </c>
      <c r="AA141" s="9">
        <f>_xlfn.XLOOKUP($A141,Sheet8!$B:$B,Sheet8!J:J)</f>
        <v>0</v>
      </c>
      <c r="AB141" s="6">
        <f>_xlfn.XLOOKUP($A141,Sheet1!$B:$B,Sheet1!G:G,0)+_xlfn.XLOOKUP($A141,Sheet2!$B:$B,Sheet2!G:G,0)</f>
        <v>124</v>
      </c>
      <c r="AC141" s="6">
        <f>_xlfn.XLOOKUP($A141,Sheet3!$B:$B,Sheet3!G:G,0)+_xlfn.XLOOKUP($A141,Sheet4!$B:$B,Sheet4!G:G,0)</f>
        <v>200</v>
      </c>
      <c r="AD141" s="6">
        <f>_xlfn.XLOOKUP($A141,Sheet5!$B:$B,Sheet5!G:G,0)+_xlfn.XLOOKUP($A141,Sheet6!$B:$B,Sheet6!G:G,0)</f>
        <v>252</v>
      </c>
      <c r="AE141" s="6">
        <f>_xlfn.XLOOKUP($A141,Sheet7!$B:$B,Sheet7!G:G,0)+_xlfn.XLOOKUP($A141,Sheet8!$B:$B,Sheet8!G:G,0)</f>
        <v>50</v>
      </c>
      <c r="AF141" s="6" cm="1">
        <f t="array" ref="AF141">SUM(IFERROR(AB141:AE141,0))</f>
        <v>626</v>
      </c>
      <c r="AG141" s="6">
        <f t="shared" si="2"/>
        <v>138</v>
      </c>
    </row>
    <row r="142" spans="1:33" ht="15.6" x14ac:dyDescent="0.3">
      <c r="A142" s="6" t="s">
        <v>266</v>
      </c>
      <c r="B142" s="6" t="str">
        <f>_xlfn.XLOOKUP($A142,Sheet3!$B:$B,Sheet3!D:D)</f>
        <v>中山市中山纪念中学</v>
      </c>
      <c r="C142" s="7" t="str">
        <f>_xlfn.XLOOKUP($A142,Sheet3!$B:$B,Sheet3!E:E)</f>
        <v>邓致远</v>
      </c>
      <c r="D142" s="6">
        <f>_xlfn.XLOOKUP($A142,Sheet1!$B:$B,Sheet1!H:H)</f>
        <v>100</v>
      </c>
      <c r="E142" s="6">
        <f>_xlfn.XLOOKUP($A142,Sheet1!$B:$B,Sheet1!I:I)</f>
        <v>0</v>
      </c>
      <c r="F142" s="6">
        <f>_xlfn.XLOOKUP($A142,Sheet1!$B:$B,Sheet1!J:J)</f>
        <v>0</v>
      </c>
      <c r="G142" s="6">
        <f>_xlfn.XLOOKUP($A142,Sheet2!$B:$B,Sheet2!H:H)</f>
        <v>25</v>
      </c>
      <c r="H142" s="6">
        <f>_xlfn.XLOOKUP($A142,Sheet2!$B:$B,Sheet2!I:I)</f>
        <v>0</v>
      </c>
      <c r="I142" s="7">
        <f>_xlfn.XLOOKUP($A142,Sheet2!$B:$B,Sheet2!J:J)</f>
        <v>12</v>
      </c>
      <c r="J142" s="8">
        <f>_xlfn.XLOOKUP($A142,Sheet3!$B:$B,Sheet3!H:H)</f>
        <v>84</v>
      </c>
      <c r="K142" s="8">
        <f>_xlfn.XLOOKUP($A142,Sheet3!$B:$B,Sheet3!I:I)</f>
        <v>20</v>
      </c>
      <c r="L142" s="8">
        <f>_xlfn.XLOOKUP($A142,Sheet3!$B:$B,Sheet3!J:J)</f>
        <v>0</v>
      </c>
      <c r="M142" s="8">
        <f>_xlfn.XLOOKUP($A142,Sheet4!$B:$B,Sheet4!H:H)</f>
        <v>60</v>
      </c>
      <c r="N142" s="8">
        <f>_xlfn.XLOOKUP($A142,Sheet4!$B:$B,Sheet4!I:I)</f>
        <v>0</v>
      </c>
      <c r="O142" s="9">
        <f>_xlfn.XLOOKUP($A142,Sheet4!$B:$B,Sheet4!J:J)</f>
        <v>1</v>
      </c>
      <c r="P142" s="8">
        <f>_xlfn.XLOOKUP($A142,Sheet5!$B:$B,Sheet5!H:H)</f>
        <v>40</v>
      </c>
      <c r="Q142" s="8">
        <f>_xlfn.XLOOKUP($A142,Sheet5!$B:$B,Sheet5!I:I)</f>
        <v>0</v>
      </c>
      <c r="R142" s="8">
        <f>_xlfn.XLOOKUP($A142,Sheet5!$B:$B,Sheet5!J:J)</f>
        <v>0</v>
      </c>
      <c r="S142" s="8">
        <f>_xlfn.XLOOKUP($A142,Sheet6!$B:$B,Sheet6!H:H)</f>
        <v>100</v>
      </c>
      <c r="T142" s="8">
        <f>_xlfn.XLOOKUP($A142,Sheet6!$B:$B,Sheet6!I:I)</f>
        <v>36</v>
      </c>
      <c r="U142" s="9">
        <f>_xlfn.XLOOKUP($A142,Sheet6!$B:$B,Sheet6!J:J)</f>
        <v>0</v>
      </c>
      <c r="V142" s="8">
        <f>_xlfn.XLOOKUP($A142,Sheet7!$B:$B,Sheet7!H:H)</f>
        <v>100</v>
      </c>
      <c r="W142" s="8">
        <f>_xlfn.XLOOKUP($A142,Sheet7!$B:$B,Sheet7!I:I)</f>
        <v>0</v>
      </c>
      <c r="X142" s="8">
        <f>_xlfn.XLOOKUP($A142,Sheet7!$B:$B,Sheet7!J:J)</f>
        <v>0</v>
      </c>
      <c r="Y142" s="8">
        <f>_xlfn.XLOOKUP($A142,Sheet8!$B:$B,Sheet8!H:H)</f>
        <v>40</v>
      </c>
      <c r="Z142" s="8">
        <f>_xlfn.XLOOKUP($A142,Sheet8!$B:$B,Sheet8!I:I)</f>
        <v>0</v>
      </c>
      <c r="AA142" s="9">
        <f>_xlfn.XLOOKUP($A142,Sheet8!$B:$B,Sheet8!J:J)</f>
        <v>0</v>
      </c>
      <c r="AB142" s="6">
        <f>_xlfn.XLOOKUP($A142,Sheet1!$B:$B,Sheet1!G:G,0)+_xlfn.XLOOKUP($A142,Sheet2!$B:$B,Sheet2!G:G,0)</f>
        <v>137</v>
      </c>
      <c r="AC142" s="6">
        <f>_xlfn.XLOOKUP($A142,Sheet3!$B:$B,Sheet3!G:G,0)+_xlfn.XLOOKUP($A142,Sheet4!$B:$B,Sheet4!G:G,0)</f>
        <v>165</v>
      </c>
      <c r="AD142" s="6">
        <f>_xlfn.XLOOKUP($A142,Sheet5!$B:$B,Sheet5!G:G,0)+_xlfn.XLOOKUP($A142,Sheet6!$B:$B,Sheet6!G:G,0)</f>
        <v>176</v>
      </c>
      <c r="AE142" s="6">
        <f>_xlfn.XLOOKUP($A142,Sheet7!$B:$B,Sheet7!G:G,0)+_xlfn.XLOOKUP($A142,Sheet8!$B:$B,Sheet8!G:G,0)</f>
        <v>140</v>
      </c>
      <c r="AF142" s="6" cm="1">
        <f t="array" ref="AF142">SUM(IFERROR(AB142:AE142,0))</f>
        <v>618</v>
      </c>
      <c r="AG142" s="6">
        <f t="shared" si="2"/>
        <v>139</v>
      </c>
    </row>
    <row r="143" spans="1:33" ht="15.6" x14ac:dyDescent="0.3">
      <c r="A143" s="6" t="s">
        <v>377</v>
      </c>
      <c r="B143" s="6" t="str">
        <f>_xlfn.XLOOKUP($A143,Sheet3!$B:$B,Sheet3!D:D)</f>
        <v>深圳市蛇口育才教育集团育才中学</v>
      </c>
      <c r="C143" s="7" t="str">
        <f>_xlfn.XLOOKUP($A143,Sheet3!$B:$B,Sheet3!E:E)</f>
        <v>白鹏程</v>
      </c>
      <c r="D143" s="6">
        <f>_xlfn.XLOOKUP($A143,Sheet1!$B:$B,Sheet1!H:H)</f>
        <v>24</v>
      </c>
      <c r="E143" s="6">
        <f>_xlfn.XLOOKUP($A143,Sheet1!$B:$B,Sheet1!I:I)</f>
        <v>0</v>
      </c>
      <c r="F143" s="6">
        <f>_xlfn.XLOOKUP($A143,Sheet1!$B:$B,Sheet1!J:J)</f>
        <v>7</v>
      </c>
      <c r="G143" s="6">
        <f>_xlfn.XLOOKUP($A143,Sheet2!$B:$B,Sheet2!H:H)</f>
        <v>10</v>
      </c>
      <c r="H143" s="6">
        <f>_xlfn.XLOOKUP($A143,Sheet2!$B:$B,Sheet2!I:I)</f>
        <v>20</v>
      </c>
      <c r="I143" s="7">
        <f>_xlfn.XLOOKUP($A143,Sheet2!$B:$B,Sheet2!J:J)</f>
        <v>25</v>
      </c>
      <c r="J143" s="8">
        <f>_xlfn.XLOOKUP($A143,Sheet3!$B:$B,Sheet3!H:H)</f>
        <v>45</v>
      </c>
      <c r="K143" s="8">
        <f>_xlfn.XLOOKUP($A143,Sheet3!$B:$B,Sheet3!I:I)</f>
        <v>40</v>
      </c>
      <c r="L143" s="8">
        <f>_xlfn.XLOOKUP($A143,Sheet3!$B:$B,Sheet3!J:J)</f>
        <v>10</v>
      </c>
      <c r="M143" s="8">
        <f>_xlfn.XLOOKUP($A143,Sheet4!$B:$B,Sheet4!H:H)</f>
        <v>60</v>
      </c>
      <c r="N143" s="8">
        <f>_xlfn.XLOOKUP($A143,Sheet4!$B:$B,Sheet4!I:I)</f>
        <v>0</v>
      </c>
      <c r="O143" s="9">
        <f>_xlfn.XLOOKUP($A143,Sheet4!$B:$B,Sheet4!J:J)</f>
        <v>1</v>
      </c>
      <c r="P143" s="8">
        <f>_xlfn.XLOOKUP($A143,Sheet5!$B:$B,Sheet5!H:H)</f>
        <v>35</v>
      </c>
      <c r="Q143" s="8">
        <f>_xlfn.XLOOKUP($A143,Sheet5!$B:$B,Sheet5!I:I)</f>
        <v>0</v>
      </c>
      <c r="R143" s="8">
        <f>_xlfn.XLOOKUP($A143,Sheet5!$B:$B,Sheet5!J:J)</f>
        <v>10</v>
      </c>
      <c r="S143" s="8">
        <f>_xlfn.XLOOKUP($A143,Sheet6!$B:$B,Sheet6!H:H)</f>
        <v>100</v>
      </c>
      <c r="T143" s="8">
        <f>_xlfn.XLOOKUP($A143,Sheet6!$B:$B,Sheet6!I:I)</f>
        <v>36</v>
      </c>
      <c r="U143" s="9">
        <f>_xlfn.XLOOKUP($A143,Sheet6!$B:$B,Sheet6!J:J)</f>
        <v>8</v>
      </c>
      <c r="V143" s="8">
        <f>_xlfn.XLOOKUP($A143,Sheet7!$B:$B,Sheet7!H:H)</f>
        <v>75</v>
      </c>
      <c r="W143" s="8">
        <f>_xlfn.XLOOKUP($A143,Sheet7!$B:$B,Sheet7!I:I)</f>
        <v>10</v>
      </c>
      <c r="X143" s="8">
        <f>_xlfn.XLOOKUP($A143,Sheet7!$B:$B,Sheet7!J:J)</f>
        <v>0</v>
      </c>
      <c r="Y143" s="8">
        <f>_xlfn.XLOOKUP($A143,Sheet8!$B:$B,Sheet8!H:H)</f>
        <v>100</v>
      </c>
      <c r="Z143" s="8">
        <f>_xlfn.XLOOKUP($A143,Sheet8!$B:$B,Sheet8!I:I)</f>
        <v>0</v>
      </c>
      <c r="AA143" s="9">
        <f>_xlfn.XLOOKUP($A143,Sheet8!$B:$B,Sheet8!J:J)</f>
        <v>0</v>
      </c>
      <c r="AB143" s="6">
        <f>_xlfn.XLOOKUP($A143,Sheet1!$B:$B,Sheet1!G:G,0)+_xlfn.XLOOKUP($A143,Sheet2!$B:$B,Sheet2!G:G,0)</f>
        <v>86</v>
      </c>
      <c r="AC143" s="6">
        <f>_xlfn.XLOOKUP($A143,Sheet3!$B:$B,Sheet3!G:G,0)+_xlfn.XLOOKUP($A143,Sheet4!$B:$B,Sheet4!G:G,0)</f>
        <v>156</v>
      </c>
      <c r="AD143" s="6">
        <f>_xlfn.XLOOKUP($A143,Sheet5!$B:$B,Sheet5!G:G,0)+_xlfn.XLOOKUP($A143,Sheet6!$B:$B,Sheet6!G:G,0)</f>
        <v>189</v>
      </c>
      <c r="AE143" s="6">
        <f>_xlfn.XLOOKUP($A143,Sheet7!$B:$B,Sheet7!G:G,0)+_xlfn.XLOOKUP($A143,Sheet8!$B:$B,Sheet8!G:G,0)</f>
        <v>185</v>
      </c>
      <c r="AF143" s="6" cm="1">
        <f t="array" ref="AF143">SUM(IFERROR(AB143:AE143,0))</f>
        <v>616</v>
      </c>
      <c r="AG143" s="6">
        <f t="shared" si="2"/>
        <v>140</v>
      </c>
    </row>
    <row r="144" spans="1:33" ht="15.6" x14ac:dyDescent="0.3">
      <c r="A144" s="6" t="s">
        <v>391</v>
      </c>
      <c r="B144" s="6" t="str">
        <f>_xlfn.XLOOKUP($A144,Sheet3!$B:$B,Sheet3!D:D)</f>
        <v>中山市中山纪念中学</v>
      </c>
      <c r="C144" s="7" t="str">
        <f>_xlfn.XLOOKUP($A144,Sheet3!$B:$B,Sheet3!E:E)</f>
        <v>袁浩然</v>
      </c>
      <c r="D144" s="6">
        <f>_xlfn.XLOOKUP($A144,Sheet1!$B:$B,Sheet1!H:H)</f>
        <v>24</v>
      </c>
      <c r="E144" s="6">
        <f>_xlfn.XLOOKUP($A144,Sheet1!$B:$B,Sheet1!I:I)</f>
        <v>0</v>
      </c>
      <c r="F144" s="6">
        <f>_xlfn.XLOOKUP($A144,Sheet1!$B:$B,Sheet1!J:J)</f>
        <v>7</v>
      </c>
      <c r="G144" s="6">
        <f>_xlfn.XLOOKUP($A144,Sheet2!$B:$B,Sheet2!H:H)</f>
        <v>10</v>
      </c>
      <c r="H144" s="6">
        <f>_xlfn.XLOOKUP($A144,Sheet2!$B:$B,Sheet2!I:I)</f>
        <v>8</v>
      </c>
      <c r="I144" s="7">
        <f>_xlfn.XLOOKUP($A144,Sheet2!$B:$B,Sheet2!J:J)</f>
        <v>15</v>
      </c>
      <c r="J144" s="8">
        <f>_xlfn.XLOOKUP($A144,Sheet3!$B:$B,Sheet3!H:H)</f>
        <v>83</v>
      </c>
      <c r="K144" s="8">
        <f>_xlfn.XLOOKUP($A144,Sheet3!$B:$B,Sheet3!I:I)</f>
        <v>40</v>
      </c>
      <c r="L144" s="8">
        <f>_xlfn.XLOOKUP($A144,Sheet3!$B:$B,Sheet3!J:J)</f>
        <v>10</v>
      </c>
      <c r="M144" s="8">
        <f>_xlfn.XLOOKUP($A144,Sheet4!$B:$B,Sheet4!H:H)</f>
        <v>30</v>
      </c>
      <c r="N144" s="8">
        <f>_xlfn.XLOOKUP($A144,Sheet4!$B:$B,Sheet4!I:I)</f>
        <v>11</v>
      </c>
      <c r="O144" s="9">
        <f>_xlfn.XLOOKUP($A144,Sheet4!$B:$B,Sheet4!J:J)</f>
        <v>1</v>
      </c>
      <c r="P144" s="8">
        <f>_xlfn.XLOOKUP($A144,Sheet5!$B:$B,Sheet5!H:H)</f>
        <v>45</v>
      </c>
      <c r="Q144" s="8">
        <f>_xlfn.XLOOKUP($A144,Sheet5!$B:$B,Sheet5!I:I)</f>
        <v>32</v>
      </c>
      <c r="R144" s="8">
        <f>_xlfn.XLOOKUP($A144,Sheet5!$B:$B,Sheet5!J:J)</f>
        <v>0</v>
      </c>
      <c r="S144" s="8">
        <f>_xlfn.XLOOKUP($A144,Sheet6!$B:$B,Sheet6!H:H)</f>
        <v>100</v>
      </c>
      <c r="T144" s="8">
        <f>_xlfn.XLOOKUP($A144,Sheet6!$B:$B,Sheet6!I:I)</f>
        <v>36</v>
      </c>
      <c r="U144" s="9">
        <f>_xlfn.XLOOKUP($A144,Sheet6!$B:$B,Sheet6!J:J)</f>
        <v>8</v>
      </c>
      <c r="V144" s="8">
        <f>_xlfn.XLOOKUP($A144,Sheet7!$B:$B,Sheet7!H:H)</f>
        <v>30</v>
      </c>
      <c r="W144" s="8">
        <f>_xlfn.XLOOKUP($A144,Sheet7!$B:$B,Sheet7!I:I)</f>
        <v>0</v>
      </c>
      <c r="X144" s="8">
        <f>_xlfn.XLOOKUP($A144,Sheet7!$B:$B,Sheet7!J:J)</f>
        <v>14</v>
      </c>
      <c r="Y144" s="8">
        <f>_xlfn.XLOOKUP($A144,Sheet8!$B:$B,Sheet8!H:H)</f>
        <v>100</v>
      </c>
      <c r="Z144" s="8">
        <f>_xlfn.XLOOKUP($A144,Sheet8!$B:$B,Sheet8!I:I)</f>
        <v>0</v>
      </c>
      <c r="AA144" s="9">
        <f>_xlfn.XLOOKUP($A144,Sheet8!$B:$B,Sheet8!J:J)</f>
        <v>0</v>
      </c>
      <c r="AB144" s="6">
        <f>_xlfn.XLOOKUP($A144,Sheet1!$B:$B,Sheet1!G:G,0)+_xlfn.XLOOKUP($A144,Sheet2!$B:$B,Sheet2!G:G,0)</f>
        <v>64</v>
      </c>
      <c r="AC144" s="6">
        <f>_xlfn.XLOOKUP($A144,Sheet3!$B:$B,Sheet3!G:G,0)+_xlfn.XLOOKUP($A144,Sheet4!$B:$B,Sheet4!G:G,0)</f>
        <v>175</v>
      </c>
      <c r="AD144" s="6">
        <f>_xlfn.XLOOKUP($A144,Sheet5!$B:$B,Sheet5!G:G,0)+_xlfn.XLOOKUP($A144,Sheet6!$B:$B,Sheet6!G:G,0)</f>
        <v>221</v>
      </c>
      <c r="AE144" s="6">
        <f>_xlfn.XLOOKUP($A144,Sheet7!$B:$B,Sheet7!G:G,0)+_xlfn.XLOOKUP($A144,Sheet8!$B:$B,Sheet8!G:G,0)</f>
        <v>144</v>
      </c>
      <c r="AF144" s="6" cm="1">
        <f t="array" ref="AF144">SUM(IFERROR(AB144:AE144,0))</f>
        <v>604</v>
      </c>
      <c r="AG144" s="6">
        <f t="shared" si="2"/>
        <v>141</v>
      </c>
    </row>
    <row r="145" spans="1:33" ht="15.6" x14ac:dyDescent="0.3">
      <c r="A145" s="6" t="s">
        <v>323</v>
      </c>
      <c r="B145" s="6" t="str">
        <f>_xlfn.XLOOKUP($A145,Sheet3!$B:$B,Sheet3!D:D)</f>
        <v>中山市中山纪念中学</v>
      </c>
      <c r="C145" s="7" t="str">
        <f>_xlfn.XLOOKUP($A145,Sheet3!$B:$B,Sheet3!E:E)</f>
        <v>师禹田</v>
      </c>
      <c r="D145" s="6">
        <f>_xlfn.XLOOKUP($A145,Sheet1!$B:$B,Sheet1!H:H)</f>
        <v>42</v>
      </c>
      <c r="E145" s="6">
        <f>_xlfn.XLOOKUP($A145,Sheet1!$B:$B,Sheet1!I:I)</f>
        <v>0</v>
      </c>
      <c r="F145" s="6">
        <f>_xlfn.XLOOKUP($A145,Sheet1!$B:$B,Sheet1!J:J)</f>
        <v>7</v>
      </c>
      <c r="G145" s="6">
        <f>_xlfn.XLOOKUP($A145,Sheet2!$B:$B,Sheet2!H:H)</f>
        <v>35</v>
      </c>
      <c r="H145" s="6">
        <f>_xlfn.XLOOKUP($A145,Sheet2!$B:$B,Sheet2!I:I)</f>
        <v>32</v>
      </c>
      <c r="I145" s="7">
        <f>_xlfn.XLOOKUP($A145,Sheet2!$B:$B,Sheet2!J:J)</f>
        <v>0</v>
      </c>
      <c r="J145" s="8">
        <f>_xlfn.XLOOKUP($A145,Sheet3!$B:$B,Sheet3!H:H)</f>
        <v>84</v>
      </c>
      <c r="K145" s="8">
        <f>_xlfn.XLOOKUP($A145,Sheet3!$B:$B,Sheet3!I:I)</f>
        <v>20</v>
      </c>
      <c r="L145" s="8">
        <f>_xlfn.XLOOKUP($A145,Sheet3!$B:$B,Sheet3!J:J)</f>
        <v>10</v>
      </c>
      <c r="M145" s="8">
        <f>_xlfn.XLOOKUP($A145,Sheet4!$B:$B,Sheet4!H:H)</f>
        <v>60</v>
      </c>
      <c r="N145" s="8">
        <f>_xlfn.XLOOKUP($A145,Sheet4!$B:$B,Sheet4!I:I)</f>
        <v>0</v>
      </c>
      <c r="O145" s="9">
        <f>_xlfn.XLOOKUP($A145,Sheet4!$B:$B,Sheet4!J:J)</f>
        <v>5</v>
      </c>
      <c r="P145" s="8">
        <f>_xlfn.XLOOKUP($A145,Sheet5!$B:$B,Sheet5!H:H)</f>
        <v>60</v>
      </c>
      <c r="Q145" s="8">
        <f>_xlfn.XLOOKUP($A145,Sheet5!$B:$B,Sheet5!I:I)</f>
        <v>32</v>
      </c>
      <c r="R145" s="8">
        <f>_xlfn.XLOOKUP($A145,Sheet5!$B:$B,Sheet5!J:J)</f>
        <v>0</v>
      </c>
      <c r="S145" s="8">
        <f>_xlfn.XLOOKUP($A145,Sheet6!$B:$B,Sheet6!H:H)</f>
        <v>60</v>
      </c>
      <c r="T145" s="8">
        <f>_xlfn.XLOOKUP($A145,Sheet6!$B:$B,Sheet6!I:I)</f>
        <v>36</v>
      </c>
      <c r="U145" s="9">
        <f>_xlfn.XLOOKUP($A145,Sheet6!$B:$B,Sheet6!J:J)</f>
        <v>0</v>
      </c>
      <c r="V145" s="8">
        <f>_xlfn.XLOOKUP($A145,Sheet7!$B:$B,Sheet7!H:H)</f>
        <v>30</v>
      </c>
      <c r="W145" s="8">
        <f>_xlfn.XLOOKUP($A145,Sheet7!$B:$B,Sheet7!I:I)</f>
        <v>10</v>
      </c>
      <c r="X145" s="8">
        <f>_xlfn.XLOOKUP($A145,Sheet7!$B:$B,Sheet7!J:J)</f>
        <v>0</v>
      </c>
      <c r="Y145" s="8">
        <f>_xlfn.XLOOKUP($A145,Sheet8!$B:$B,Sheet8!H:H)</f>
        <v>70</v>
      </c>
      <c r="Z145" s="8">
        <f>_xlfn.XLOOKUP($A145,Sheet8!$B:$B,Sheet8!I:I)</f>
        <v>0</v>
      </c>
      <c r="AA145" s="9">
        <f>_xlfn.XLOOKUP($A145,Sheet8!$B:$B,Sheet8!J:J)</f>
        <v>0</v>
      </c>
      <c r="AB145" s="6">
        <f>_xlfn.XLOOKUP($A145,Sheet1!$B:$B,Sheet1!G:G,0)+_xlfn.XLOOKUP($A145,Sheet2!$B:$B,Sheet2!G:G,0)</f>
        <v>116</v>
      </c>
      <c r="AC145" s="6">
        <f>_xlfn.XLOOKUP($A145,Sheet3!$B:$B,Sheet3!G:G,0)+_xlfn.XLOOKUP($A145,Sheet4!$B:$B,Sheet4!G:G,0)</f>
        <v>179</v>
      </c>
      <c r="AD145" s="6">
        <f>_xlfn.XLOOKUP($A145,Sheet5!$B:$B,Sheet5!G:G,0)+_xlfn.XLOOKUP($A145,Sheet6!$B:$B,Sheet6!G:G,0)</f>
        <v>188</v>
      </c>
      <c r="AE145" s="6">
        <f>_xlfn.XLOOKUP($A145,Sheet7!$B:$B,Sheet7!G:G,0)+_xlfn.XLOOKUP($A145,Sheet8!$B:$B,Sheet8!G:G,0)</f>
        <v>110</v>
      </c>
      <c r="AF145" s="6" cm="1">
        <f t="array" ref="AF145">SUM(IFERROR(AB145:AE145,0))</f>
        <v>593</v>
      </c>
      <c r="AG145" s="6">
        <f t="shared" si="2"/>
        <v>142</v>
      </c>
    </row>
    <row r="146" spans="1:33" ht="15.6" x14ac:dyDescent="0.3">
      <c r="A146" s="6" t="s">
        <v>231</v>
      </c>
      <c r="B146" s="6" t="str">
        <f>_xlfn.XLOOKUP($A146,Sheet3!$B:$B,Sheet3!D:D)</f>
        <v>杭州市第二中学</v>
      </c>
      <c r="C146" s="7" t="str">
        <f>_xlfn.XLOOKUP($A146,Sheet3!$B:$B,Sheet3!E:E)</f>
        <v>陈元熙</v>
      </c>
      <c r="D146" s="6">
        <f>_xlfn.XLOOKUP($A146,Sheet1!$B:$B,Sheet1!H:H)</f>
        <v>100</v>
      </c>
      <c r="E146" s="6">
        <f>_xlfn.XLOOKUP($A146,Sheet1!$B:$B,Sheet1!I:I)</f>
        <v>0</v>
      </c>
      <c r="F146" s="6">
        <f>_xlfn.XLOOKUP($A146,Sheet1!$B:$B,Sheet1!J:J)</f>
        <v>7</v>
      </c>
      <c r="G146" s="6">
        <f>_xlfn.XLOOKUP($A146,Sheet2!$B:$B,Sheet2!H:H)</f>
        <v>100</v>
      </c>
      <c r="H146" s="6">
        <f>_xlfn.XLOOKUP($A146,Sheet2!$B:$B,Sheet2!I:I)</f>
        <v>0</v>
      </c>
      <c r="I146" s="7">
        <f>_xlfn.XLOOKUP($A146,Sheet2!$B:$B,Sheet2!J:J)</f>
        <v>0</v>
      </c>
      <c r="J146" s="8">
        <f>_xlfn.XLOOKUP($A146,Sheet3!$B:$B,Sheet3!H:H)</f>
        <v>100</v>
      </c>
      <c r="K146" s="8">
        <f>_xlfn.XLOOKUP($A146,Sheet3!$B:$B,Sheet3!I:I)</f>
        <v>40</v>
      </c>
      <c r="L146" s="8">
        <f>_xlfn.XLOOKUP($A146,Sheet3!$B:$B,Sheet3!J:J)</f>
        <v>10</v>
      </c>
      <c r="M146" s="8">
        <f>_xlfn.XLOOKUP($A146,Sheet4!$B:$B,Sheet4!H:H)</f>
        <v>20</v>
      </c>
      <c r="N146" s="8">
        <f>_xlfn.XLOOKUP($A146,Sheet4!$B:$B,Sheet4!I:I)</f>
        <v>0</v>
      </c>
      <c r="O146" s="9">
        <f>_xlfn.XLOOKUP($A146,Sheet4!$B:$B,Sheet4!J:J)</f>
        <v>0</v>
      </c>
      <c r="P146" s="8">
        <f>_xlfn.XLOOKUP($A146,Sheet5!$B:$B,Sheet5!H:H)</f>
        <v>0</v>
      </c>
      <c r="Q146" s="8">
        <f>_xlfn.XLOOKUP($A146,Sheet5!$B:$B,Sheet5!I:I)</f>
        <v>0</v>
      </c>
      <c r="R146" s="8">
        <f>_xlfn.XLOOKUP($A146,Sheet5!$B:$B,Sheet5!J:J)</f>
        <v>0</v>
      </c>
      <c r="S146" s="8">
        <f>_xlfn.XLOOKUP($A146,Sheet6!$B:$B,Sheet6!H:H)</f>
        <v>100</v>
      </c>
      <c r="T146" s="8">
        <f>_xlfn.XLOOKUP($A146,Sheet6!$B:$B,Sheet6!I:I)</f>
        <v>0</v>
      </c>
      <c r="U146" s="9">
        <f>_xlfn.XLOOKUP($A146,Sheet6!$B:$B,Sheet6!J:J)</f>
        <v>0</v>
      </c>
      <c r="V146" s="8">
        <f>_xlfn.XLOOKUP($A146,Sheet7!$B:$B,Sheet7!H:H)</f>
        <v>100</v>
      </c>
      <c r="W146" s="8">
        <f>_xlfn.XLOOKUP($A146,Sheet7!$B:$B,Sheet7!I:I)</f>
        <v>0</v>
      </c>
      <c r="X146" s="8">
        <f>_xlfn.XLOOKUP($A146,Sheet7!$B:$B,Sheet7!J:J)</f>
        <v>0</v>
      </c>
      <c r="Y146" s="8">
        <f>_xlfn.XLOOKUP($A146,Sheet8!$B:$B,Sheet8!H:H)</f>
        <v>0</v>
      </c>
      <c r="Z146" s="8">
        <f>_xlfn.XLOOKUP($A146,Sheet8!$B:$B,Sheet8!I:I)</f>
        <v>0</v>
      </c>
      <c r="AA146" s="9">
        <f>_xlfn.XLOOKUP($A146,Sheet8!$B:$B,Sheet8!J:J)</f>
        <v>0</v>
      </c>
      <c r="AB146" s="6">
        <f>_xlfn.XLOOKUP($A146,Sheet1!$B:$B,Sheet1!G:G,0)+_xlfn.XLOOKUP($A146,Sheet2!$B:$B,Sheet2!G:G,0)</f>
        <v>207</v>
      </c>
      <c r="AC146" s="6">
        <f>_xlfn.XLOOKUP($A146,Sheet3!$B:$B,Sheet3!G:G,0)+_xlfn.XLOOKUP($A146,Sheet4!$B:$B,Sheet4!G:G,0)</f>
        <v>170</v>
      </c>
      <c r="AD146" s="6">
        <f>_xlfn.XLOOKUP($A146,Sheet5!$B:$B,Sheet5!G:G,0)+_xlfn.XLOOKUP($A146,Sheet6!$B:$B,Sheet6!G:G,0)</f>
        <v>100</v>
      </c>
      <c r="AE146" s="6">
        <f>_xlfn.XLOOKUP($A146,Sheet7!$B:$B,Sheet7!G:G,0)+_xlfn.XLOOKUP($A146,Sheet8!$B:$B,Sheet8!G:G,0)</f>
        <v>100</v>
      </c>
      <c r="AF146" s="6" cm="1">
        <f t="array" ref="AF146">SUM(IFERROR(AB146:AE146,0))</f>
        <v>577</v>
      </c>
      <c r="AG146" s="6">
        <f t="shared" si="2"/>
        <v>143</v>
      </c>
    </row>
    <row r="147" spans="1:33" ht="15.6" x14ac:dyDescent="0.3">
      <c r="A147" s="6" t="s">
        <v>500</v>
      </c>
      <c r="B147" s="6" t="str">
        <f>_xlfn.XLOOKUP($A147,Sheet3!$B:$B,Sheet3!D:D)</f>
        <v>深圳实验学校</v>
      </c>
      <c r="C147" s="7" t="str">
        <f>_xlfn.XLOOKUP($A147,Sheet3!$B:$B,Sheet3!E:E)</f>
        <v>张翌灿</v>
      </c>
      <c r="D147" s="6">
        <f>_xlfn.XLOOKUP($A147,Sheet1!$B:$B,Sheet1!H:H)</f>
        <v>0</v>
      </c>
      <c r="E147" s="6">
        <f>_xlfn.XLOOKUP($A147,Sheet1!$B:$B,Sheet1!I:I)</f>
        <v>0</v>
      </c>
      <c r="F147" s="6">
        <f>_xlfn.XLOOKUP($A147,Sheet1!$B:$B,Sheet1!J:J)</f>
        <v>0</v>
      </c>
      <c r="G147" s="6">
        <f>_xlfn.XLOOKUP($A147,Sheet2!$B:$B,Sheet2!H:H)</f>
        <v>25</v>
      </c>
      <c r="H147" s="6">
        <f>_xlfn.XLOOKUP($A147,Sheet2!$B:$B,Sheet2!I:I)</f>
        <v>20</v>
      </c>
      <c r="I147" s="7">
        <f>_xlfn.XLOOKUP($A147,Sheet2!$B:$B,Sheet2!J:J)</f>
        <v>0</v>
      </c>
      <c r="J147" s="8">
        <f>_xlfn.XLOOKUP($A147,Sheet3!$B:$B,Sheet3!H:H)</f>
        <v>83</v>
      </c>
      <c r="K147" s="8">
        <f>_xlfn.XLOOKUP($A147,Sheet3!$B:$B,Sheet3!I:I)</f>
        <v>20</v>
      </c>
      <c r="L147" s="8">
        <f>_xlfn.XLOOKUP($A147,Sheet3!$B:$B,Sheet3!J:J)</f>
        <v>20</v>
      </c>
      <c r="M147" s="8">
        <f>_xlfn.XLOOKUP($A147,Sheet4!$B:$B,Sheet4!H:H)</f>
        <v>60</v>
      </c>
      <c r="N147" s="8">
        <f>_xlfn.XLOOKUP($A147,Sheet4!$B:$B,Sheet4!I:I)</f>
        <v>11</v>
      </c>
      <c r="O147" s="9">
        <f>_xlfn.XLOOKUP($A147,Sheet4!$B:$B,Sheet4!J:J)</f>
        <v>1</v>
      </c>
      <c r="P147" s="8">
        <f>_xlfn.XLOOKUP($A147,Sheet5!$B:$B,Sheet5!H:H)</f>
        <v>100</v>
      </c>
      <c r="Q147" s="8">
        <f>_xlfn.XLOOKUP($A147,Sheet5!$B:$B,Sheet5!I:I)</f>
        <v>0</v>
      </c>
      <c r="R147" s="8">
        <f>_xlfn.XLOOKUP($A147,Sheet5!$B:$B,Sheet5!J:J)</f>
        <v>0</v>
      </c>
      <c r="S147" s="8">
        <f>_xlfn.XLOOKUP($A147,Sheet6!$B:$B,Sheet6!H:H)</f>
        <v>20</v>
      </c>
      <c r="T147" s="8">
        <f>_xlfn.XLOOKUP($A147,Sheet6!$B:$B,Sheet6!I:I)</f>
        <v>60</v>
      </c>
      <c r="U147" s="9">
        <f>_xlfn.XLOOKUP($A147,Sheet6!$B:$B,Sheet6!J:J)</f>
        <v>0</v>
      </c>
      <c r="V147" s="8">
        <f>_xlfn.XLOOKUP($A147,Sheet7!$B:$B,Sheet7!H:H)</f>
        <v>30</v>
      </c>
      <c r="W147" s="8">
        <f>_xlfn.XLOOKUP($A147,Sheet7!$B:$B,Sheet7!I:I)</f>
        <v>10</v>
      </c>
      <c r="X147" s="8">
        <f>_xlfn.XLOOKUP($A147,Sheet7!$B:$B,Sheet7!J:J)</f>
        <v>0</v>
      </c>
      <c r="Y147" s="8">
        <f>_xlfn.XLOOKUP($A147,Sheet8!$B:$B,Sheet8!H:H)</f>
        <v>100</v>
      </c>
      <c r="Z147" s="8">
        <f>_xlfn.XLOOKUP($A147,Sheet8!$B:$B,Sheet8!I:I)</f>
        <v>0</v>
      </c>
      <c r="AA147" s="9">
        <f>_xlfn.XLOOKUP($A147,Sheet8!$B:$B,Sheet8!J:J)</f>
        <v>0</v>
      </c>
      <c r="AB147" s="6">
        <f>_xlfn.XLOOKUP($A147,Sheet1!$B:$B,Sheet1!G:G,0)+_xlfn.XLOOKUP($A147,Sheet2!$B:$B,Sheet2!G:G,0)</f>
        <v>45</v>
      </c>
      <c r="AC147" s="6">
        <f>_xlfn.XLOOKUP($A147,Sheet3!$B:$B,Sheet3!G:G,0)+_xlfn.XLOOKUP($A147,Sheet4!$B:$B,Sheet4!G:G,0)</f>
        <v>195</v>
      </c>
      <c r="AD147" s="6">
        <f>_xlfn.XLOOKUP($A147,Sheet5!$B:$B,Sheet5!G:G,0)+_xlfn.XLOOKUP($A147,Sheet6!$B:$B,Sheet6!G:G,0)</f>
        <v>180</v>
      </c>
      <c r="AE147" s="6">
        <f>_xlfn.XLOOKUP($A147,Sheet7!$B:$B,Sheet7!G:G,0)+_xlfn.XLOOKUP($A147,Sheet8!$B:$B,Sheet8!G:G,0)</f>
        <v>140</v>
      </c>
      <c r="AF147" s="6" cm="1">
        <f t="array" ref="AF147">SUM(IFERROR(AB147:AE147,0))</f>
        <v>560</v>
      </c>
      <c r="AG147" s="6">
        <f t="shared" si="2"/>
        <v>144</v>
      </c>
    </row>
    <row r="148" spans="1:33" ht="15.6" x14ac:dyDescent="0.3">
      <c r="A148" s="6" t="s">
        <v>287</v>
      </c>
      <c r="B148" s="6" t="str">
        <f>_xlfn.XLOOKUP($A148,Sheet3!$B:$B,Sheet3!D:D)</f>
        <v>中山市中山纪念中学</v>
      </c>
      <c r="C148" s="7" t="str">
        <f>_xlfn.XLOOKUP($A148,Sheet3!$B:$B,Sheet3!E:E)</f>
        <v>黄羿信</v>
      </c>
      <c r="D148" s="6">
        <f>_xlfn.XLOOKUP($A148,Sheet1!$B:$B,Sheet1!H:H)</f>
        <v>59</v>
      </c>
      <c r="E148" s="6">
        <f>_xlfn.XLOOKUP($A148,Sheet1!$B:$B,Sheet1!I:I)</f>
        <v>0</v>
      </c>
      <c r="F148" s="6">
        <f>_xlfn.XLOOKUP($A148,Sheet1!$B:$B,Sheet1!J:J)</f>
        <v>7</v>
      </c>
      <c r="G148" s="6">
        <f>_xlfn.XLOOKUP($A148,Sheet2!$B:$B,Sheet2!H:H)</f>
        <v>25</v>
      </c>
      <c r="H148" s="6">
        <f>_xlfn.XLOOKUP($A148,Sheet2!$B:$B,Sheet2!I:I)</f>
        <v>8</v>
      </c>
      <c r="I148" s="7">
        <f>_xlfn.XLOOKUP($A148,Sheet2!$B:$B,Sheet2!J:J)</f>
        <v>15</v>
      </c>
      <c r="J148" s="8">
        <f>_xlfn.XLOOKUP($A148,Sheet3!$B:$B,Sheet3!H:H)</f>
        <v>84</v>
      </c>
      <c r="K148" s="8">
        <f>_xlfn.XLOOKUP($A148,Sheet3!$B:$B,Sheet3!I:I)</f>
        <v>20</v>
      </c>
      <c r="L148" s="8">
        <f>_xlfn.XLOOKUP($A148,Sheet3!$B:$B,Sheet3!J:J)</f>
        <v>0</v>
      </c>
      <c r="M148" s="8">
        <f>_xlfn.XLOOKUP($A148,Sheet4!$B:$B,Sheet4!H:H)</f>
        <v>30</v>
      </c>
      <c r="N148" s="8">
        <f>_xlfn.XLOOKUP($A148,Sheet4!$B:$B,Sheet4!I:I)</f>
        <v>10</v>
      </c>
      <c r="O148" s="9">
        <f>_xlfn.XLOOKUP($A148,Sheet4!$B:$B,Sheet4!J:J)</f>
        <v>1</v>
      </c>
      <c r="P148" s="8">
        <f>_xlfn.XLOOKUP($A148,Sheet5!$B:$B,Sheet5!H:H)</f>
        <v>60</v>
      </c>
      <c r="Q148" s="8">
        <f>_xlfn.XLOOKUP($A148,Sheet5!$B:$B,Sheet5!I:I)</f>
        <v>32</v>
      </c>
      <c r="R148" s="8">
        <f>_xlfn.XLOOKUP($A148,Sheet5!$B:$B,Sheet5!J:J)</f>
        <v>0</v>
      </c>
      <c r="S148" s="8">
        <f>_xlfn.XLOOKUP($A148,Sheet6!$B:$B,Sheet6!H:H)</f>
        <v>20</v>
      </c>
      <c r="T148" s="8">
        <f>_xlfn.XLOOKUP($A148,Sheet6!$B:$B,Sheet6!I:I)</f>
        <v>0</v>
      </c>
      <c r="U148" s="9">
        <f>_xlfn.XLOOKUP($A148,Sheet6!$B:$B,Sheet6!J:J)</f>
        <v>4</v>
      </c>
      <c r="V148" s="8">
        <f>_xlfn.XLOOKUP($A148,Sheet7!$B:$B,Sheet7!H:H)</f>
        <v>100</v>
      </c>
      <c r="W148" s="8">
        <f>_xlfn.XLOOKUP($A148,Sheet7!$B:$B,Sheet7!I:I)</f>
        <v>10</v>
      </c>
      <c r="X148" s="8">
        <f>_xlfn.XLOOKUP($A148,Sheet7!$B:$B,Sheet7!J:J)</f>
        <v>0</v>
      </c>
      <c r="Y148" s="8">
        <f>_xlfn.XLOOKUP($A148,Sheet8!$B:$B,Sheet8!H:H)</f>
        <v>70</v>
      </c>
      <c r="Z148" s="8">
        <f>_xlfn.XLOOKUP($A148,Sheet8!$B:$B,Sheet8!I:I)</f>
        <v>0</v>
      </c>
      <c r="AA148" s="9">
        <f>_xlfn.XLOOKUP($A148,Sheet8!$B:$B,Sheet8!J:J)</f>
        <v>0</v>
      </c>
      <c r="AB148" s="6">
        <f>_xlfn.XLOOKUP($A148,Sheet1!$B:$B,Sheet1!G:G,0)+_xlfn.XLOOKUP($A148,Sheet2!$B:$B,Sheet2!G:G,0)</f>
        <v>114</v>
      </c>
      <c r="AC148" s="6">
        <f>_xlfn.XLOOKUP($A148,Sheet3!$B:$B,Sheet3!G:G,0)+_xlfn.XLOOKUP($A148,Sheet4!$B:$B,Sheet4!G:G,0)</f>
        <v>145</v>
      </c>
      <c r="AD148" s="6">
        <f>_xlfn.XLOOKUP($A148,Sheet5!$B:$B,Sheet5!G:G,0)+_xlfn.XLOOKUP($A148,Sheet6!$B:$B,Sheet6!G:G,0)</f>
        <v>116</v>
      </c>
      <c r="AE148" s="6">
        <f>_xlfn.XLOOKUP($A148,Sheet7!$B:$B,Sheet7!G:G,0)+_xlfn.XLOOKUP($A148,Sheet8!$B:$B,Sheet8!G:G,0)</f>
        <v>180</v>
      </c>
      <c r="AF148" s="6" cm="1">
        <f t="array" ref="AF148">SUM(IFERROR(AB148:AE148,0))</f>
        <v>555</v>
      </c>
      <c r="AG148" s="6">
        <f t="shared" si="2"/>
        <v>145</v>
      </c>
    </row>
    <row r="149" spans="1:33" ht="15.6" x14ac:dyDescent="0.3">
      <c r="A149" s="6" t="s">
        <v>440</v>
      </c>
      <c r="B149" s="6" t="str">
        <f>_xlfn.XLOOKUP($A149,Sheet3!$B:$B,Sheet3!D:D)</f>
        <v>东莞市东莞中学松山湖学校</v>
      </c>
      <c r="C149" s="7" t="str">
        <f>_xlfn.XLOOKUP($A149,Sheet3!$B:$B,Sheet3!E:E)</f>
        <v>王成熠</v>
      </c>
      <c r="D149" s="6">
        <f>_xlfn.XLOOKUP($A149,Sheet1!$B:$B,Sheet1!H:H)</f>
        <v>24</v>
      </c>
      <c r="E149" s="6">
        <f>_xlfn.XLOOKUP($A149,Sheet1!$B:$B,Sheet1!I:I)</f>
        <v>0</v>
      </c>
      <c r="F149" s="6">
        <f>_xlfn.XLOOKUP($A149,Sheet1!$B:$B,Sheet1!J:J)</f>
        <v>0</v>
      </c>
      <c r="G149" s="6" t="e">
        <f>_xlfn.XLOOKUP($A149,Sheet2!$B:$B,Sheet2!H:H)</f>
        <v>#N/A</v>
      </c>
      <c r="H149" s="6" t="e">
        <f>_xlfn.XLOOKUP($A149,Sheet2!$B:$B,Sheet2!I:I)</f>
        <v>#N/A</v>
      </c>
      <c r="I149" s="7" t="e">
        <f>_xlfn.XLOOKUP($A149,Sheet2!$B:$B,Sheet2!J:J)</f>
        <v>#N/A</v>
      </c>
      <c r="J149" s="8">
        <f>_xlfn.XLOOKUP($A149,Sheet3!$B:$B,Sheet3!H:H)</f>
        <v>100</v>
      </c>
      <c r="K149" s="8">
        <f>_xlfn.XLOOKUP($A149,Sheet3!$B:$B,Sheet3!I:I)</f>
        <v>20</v>
      </c>
      <c r="L149" s="8">
        <f>_xlfn.XLOOKUP($A149,Sheet3!$B:$B,Sheet3!J:J)</f>
        <v>0</v>
      </c>
      <c r="M149" s="8">
        <f>_xlfn.XLOOKUP($A149,Sheet4!$B:$B,Sheet4!H:H)</f>
        <v>60</v>
      </c>
      <c r="N149" s="8">
        <f>_xlfn.XLOOKUP($A149,Sheet4!$B:$B,Sheet4!I:I)</f>
        <v>11</v>
      </c>
      <c r="O149" s="9">
        <f>_xlfn.XLOOKUP($A149,Sheet4!$B:$B,Sheet4!J:J)</f>
        <v>1</v>
      </c>
      <c r="P149" s="8">
        <f>_xlfn.XLOOKUP($A149,Sheet5!$B:$B,Sheet5!H:H)</f>
        <v>100</v>
      </c>
      <c r="Q149" s="8">
        <f>_xlfn.XLOOKUP($A149,Sheet5!$B:$B,Sheet5!I:I)</f>
        <v>0</v>
      </c>
      <c r="R149" s="8">
        <f>_xlfn.XLOOKUP($A149,Sheet5!$B:$B,Sheet5!J:J)</f>
        <v>0</v>
      </c>
      <c r="S149" s="8">
        <f>_xlfn.XLOOKUP($A149,Sheet6!$B:$B,Sheet6!H:H)</f>
        <v>100</v>
      </c>
      <c r="T149" s="8">
        <f>_xlfn.XLOOKUP($A149,Sheet6!$B:$B,Sheet6!I:I)</f>
        <v>36</v>
      </c>
      <c r="U149" s="9">
        <f>_xlfn.XLOOKUP($A149,Sheet6!$B:$B,Sheet6!J:J)</f>
        <v>4</v>
      </c>
      <c r="V149" s="8">
        <f>_xlfn.XLOOKUP($A149,Sheet7!$B:$B,Sheet7!H:H)</f>
        <v>25</v>
      </c>
      <c r="W149" s="8">
        <f>_xlfn.XLOOKUP($A149,Sheet7!$B:$B,Sheet7!I:I)</f>
        <v>0</v>
      </c>
      <c r="X149" s="8">
        <f>_xlfn.XLOOKUP($A149,Sheet7!$B:$B,Sheet7!J:J)</f>
        <v>0</v>
      </c>
      <c r="Y149" s="8">
        <f>_xlfn.XLOOKUP($A149,Sheet8!$B:$B,Sheet8!H:H)</f>
        <v>70</v>
      </c>
      <c r="Z149" s="8">
        <f>_xlfn.XLOOKUP($A149,Sheet8!$B:$B,Sheet8!I:I)</f>
        <v>0</v>
      </c>
      <c r="AA149" s="9">
        <f>_xlfn.XLOOKUP($A149,Sheet8!$B:$B,Sheet8!J:J)</f>
        <v>0</v>
      </c>
      <c r="AB149" s="6">
        <f>_xlfn.XLOOKUP($A149,Sheet1!$B:$B,Sheet1!G:G,0)+_xlfn.XLOOKUP($A149,Sheet2!$B:$B,Sheet2!G:G,0)</f>
        <v>24</v>
      </c>
      <c r="AC149" s="6">
        <f>_xlfn.XLOOKUP($A149,Sheet3!$B:$B,Sheet3!G:G,0)+_xlfn.XLOOKUP($A149,Sheet4!$B:$B,Sheet4!G:G,0)</f>
        <v>192</v>
      </c>
      <c r="AD149" s="6">
        <f>_xlfn.XLOOKUP($A149,Sheet5!$B:$B,Sheet5!G:G,0)+_xlfn.XLOOKUP($A149,Sheet6!$B:$B,Sheet6!G:G,0)</f>
        <v>240</v>
      </c>
      <c r="AE149" s="6">
        <f>_xlfn.XLOOKUP($A149,Sheet7!$B:$B,Sheet7!G:G,0)+_xlfn.XLOOKUP($A149,Sheet8!$B:$B,Sheet8!G:G,0)</f>
        <v>95</v>
      </c>
      <c r="AF149" s="6" cm="1">
        <f t="array" ref="AF149">SUM(IFERROR(AB149:AE149,0))</f>
        <v>551</v>
      </c>
      <c r="AG149" s="6">
        <f t="shared" si="2"/>
        <v>146</v>
      </c>
    </row>
    <row r="150" spans="1:33" ht="15.6" x14ac:dyDescent="0.3">
      <c r="A150" s="6" t="s">
        <v>523</v>
      </c>
      <c r="B150" s="6" t="str">
        <f>_xlfn.XLOOKUP($A150,Sheet3!$B:$B,Sheet3!D:D)</f>
        <v>深圳中学</v>
      </c>
      <c r="C150" s="7" t="str">
        <f>_xlfn.XLOOKUP($A150,Sheet3!$B:$B,Sheet3!E:E)</f>
        <v>闫卓轩</v>
      </c>
      <c r="D150" s="6">
        <f>_xlfn.XLOOKUP($A150,Sheet1!$B:$B,Sheet1!H:H)</f>
        <v>0</v>
      </c>
      <c r="E150" s="6">
        <f>_xlfn.XLOOKUP($A150,Sheet1!$B:$B,Sheet1!I:I)</f>
        <v>0</v>
      </c>
      <c r="F150" s="6">
        <f>_xlfn.XLOOKUP($A150,Sheet1!$B:$B,Sheet1!J:J)</f>
        <v>0</v>
      </c>
      <c r="G150" s="6">
        <f>_xlfn.XLOOKUP($A150,Sheet2!$B:$B,Sheet2!H:H)</f>
        <v>0</v>
      </c>
      <c r="H150" s="6">
        <f>_xlfn.XLOOKUP($A150,Sheet2!$B:$B,Sheet2!I:I)</f>
        <v>0</v>
      </c>
      <c r="I150" s="7">
        <f>_xlfn.XLOOKUP($A150,Sheet2!$B:$B,Sheet2!J:J)</f>
        <v>34</v>
      </c>
      <c r="J150" s="8">
        <f>_xlfn.XLOOKUP($A150,Sheet3!$B:$B,Sheet3!H:H)</f>
        <v>100</v>
      </c>
      <c r="K150" s="8">
        <f>_xlfn.XLOOKUP($A150,Sheet3!$B:$B,Sheet3!I:I)</f>
        <v>20</v>
      </c>
      <c r="L150" s="8">
        <f>_xlfn.XLOOKUP($A150,Sheet3!$B:$B,Sheet3!J:J)</f>
        <v>10</v>
      </c>
      <c r="M150" s="8">
        <f>_xlfn.XLOOKUP($A150,Sheet4!$B:$B,Sheet4!H:H)</f>
        <v>100</v>
      </c>
      <c r="N150" s="8">
        <f>_xlfn.XLOOKUP($A150,Sheet4!$B:$B,Sheet4!I:I)</f>
        <v>0</v>
      </c>
      <c r="O150" s="9">
        <f>_xlfn.XLOOKUP($A150,Sheet4!$B:$B,Sheet4!J:J)</f>
        <v>1</v>
      </c>
      <c r="P150" s="8">
        <f>_xlfn.XLOOKUP($A150,Sheet5!$B:$B,Sheet5!H:H)</f>
        <v>40</v>
      </c>
      <c r="Q150" s="8">
        <f>_xlfn.XLOOKUP($A150,Sheet5!$B:$B,Sheet5!I:I)</f>
        <v>0</v>
      </c>
      <c r="R150" s="8">
        <f>_xlfn.XLOOKUP($A150,Sheet5!$B:$B,Sheet5!J:J)</f>
        <v>0</v>
      </c>
      <c r="S150" s="8">
        <f>_xlfn.XLOOKUP($A150,Sheet6!$B:$B,Sheet6!H:H)</f>
        <v>100</v>
      </c>
      <c r="T150" s="8">
        <f>_xlfn.XLOOKUP($A150,Sheet6!$B:$B,Sheet6!I:I)</f>
        <v>0</v>
      </c>
      <c r="U150" s="9">
        <f>_xlfn.XLOOKUP($A150,Sheet6!$B:$B,Sheet6!J:J)</f>
        <v>0</v>
      </c>
      <c r="V150" s="8">
        <f>_xlfn.XLOOKUP($A150,Sheet7!$B:$B,Sheet7!H:H)</f>
        <v>30</v>
      </c>
      <c r="W150" s="8">
        <f>_xlfn.XLOOKUP($A150,Sheet7!$B:$B,Sheet7!I:I)</f>
        <v>0</v>
      </c>
      <c r="X150" s="8">
        <f>_xlfn.XLOOKUP($A150,Sheet7!$B:$B,Sheet7!J:J)</f>
        <v>0</v>
      </c>
      <c r="Y150" s="8">
        <f>_xlfn.XLOOKUP($A150,Sheet8!$B:$B,Sheet8!H:H)</f>
        <v>100</v>
      </c>
      <c r="Z150" s="8">
        <f>_xlfn.XLOOKUP($A150,Sheet8!$B:$B,Sheet8!I:I)</f>
        <v>0</v>
      </c>
      <c r="AA150" s="9">
        <f>_xlfn.XLOOKUP($A150,Sheet8!$B:$B,Sheet8!J:J)</f>
        <v>10</v>
      </c>
      <c r="AB150" s="6">
        <f>_xlfn.XLOOKUP($A150,Sheet1!$B:$B,Sheet1!G:G,0)+_xlfn.XLOOKUP($A150,Sheet2!$B:$B,Sheet2!G:G,0)</f>
        <v>34</v>
      </c>
      <c r="AC150" s="6">
        <f>_xlfn.XLOOKUP($A150,Sheet3!$B:$B,Sheet3!G:G,0)+_xlfn.XLOOKUP($A150,Sheet4!$B:$B,Sheet4!G:G,0)</f>
        <v>231</v>
      </c>
      <c r="AD150" s="6">
        <f>_xlfn.XLOOKUP($A150,Sheet5!$B:$B,Sheet5!G:G,0)+_xlfn.XLOOKUP($A150,Sheet6!$B:$B,Sheet6!G:G,0)</f>
        <v>140</v>
      </c>
      <c r="AE150" s="6">
        <f>_xlfn.XLOOKUP($A150,Sheet7!$B:$B,Sheet7!G:G,0)+_xlfn.XLOOKUP($A150,Sheet8!$B:$B,Sheet8!G:G,0)</f>
        <v>140</v>
      </c>
      <c r="AF150" s="6" cm="1">
        <f t="array" ref="AF150">SUM(IFERROR(AB150:AE150,0))</f>
        <v>545</v>
      </c>
      <c r="AG150" s="6">
        <f t="shared" si="2"/>
        <v>147</v>
      </c>
    </row>
    <row r="151" spans="1:33" ht="15.6" x14ac:dyDescent="0.3">
      <c r="A151" s="6" t="s">
        <v>566</v>
      </c>
      <c r="B151" s="6" t="str">
        <f>_xlfn.XLOOKUP($A151,Sheet3!$B:$B,Sheet3!D:D)</f>
        <v>佛山市南海区石实实验学校</v>
      </c>
      <c r="C151" s="7" t="str">
        <f>_xlfn.XLOOKUP($A151,Sheet3!$B:$B,Sheet3!E:E)</f>
        <v>李睿博</v>
      </c>
      <c r="D151" s="6" t="e">
        <f>_xlfn.XLOOKUP($A151,Sheet1!$B:$B,Sheet1!H:H)</f>
        <v>#N/A</v>
      </c>
      <c r="E151" s="6" t="e">
        <f>_xlfn.XLOOKUP($A151,Sheet1!$B:$B,Sheet1!I:I)</f>
        <v>#N/A</v>
      </c>
      <c r="F151" s="6" t="e">
        <f>_xlfn.XLOOKUP($A151,Sheet1!$B:$B,Sheet1!J:J)</f>
        <v>#N/A</v>
      </c>
      <c r="G151" s="6">
        <f>_xlfn.XLOOKUP($A151,Sheet2!$B:$B,Sheet2!H:H)</f>
        <v>0</v>
      </c>
      <c r="H151" s="6">
        <f>_xlfn.XLOOKUP($A151,Sheet2!$B:$B,Sheet2!I:I)</f>
        <v>0</v>
      </c>
      <c r="I151" s="7">
        <f>_xlfn.XLOOKUP($A151,Sheet2!$B:$B,Sheet2!J:J)</f>
        <v>0</v>
      </c>
      <c r="J151" s="8">
        <f>_xlfn.XLOOKUP($A151,Sheet3!$B:$B,Sheet3!H:H)</f>
        <v>100</v>
      </c>
      <c r="K151" s="8">
        <f>_xlfn.XLOOKUP($A151,Sheet3!$B:$B,Sheet3!I:I)</f>
        <v>0</v>
      </c>
      <c r="L151" s="8">
        <f>_xlfn.XLOOKUP($A151,Sheet3!$B:$B,Sheet3!J:J)</f>
        <v>0</v>
      </c>
      <c r="M151" s="8">
        <f>_xlfn.XLOOKUP($A151,Sheet4!$B:$B,Sheet4!H:H)</f>
        <v>100</v>
      </c>
      <c r="N151" s="8">
        <f>_xlfn.XLOOKUP($A151,Sheet4!$B:$B,Sheet4!I:I)</f>
        <v>10</v>
      </c>
      <c r="O151" s="9">
        <f>_xlfn.XLOOKUP($A151,Sheet4!$B:$B,Sheet4!J:J)</f>
        <v>0</v>
      </c>
      <c r="P151" s="8">
        <f>_xlfn.XLOOKUP($A151,Sheet5!$B:$B,Sheet5!H:H)</f>
        <v>0</v>
      </c>
      <c r="Q151" s="8">
        <f>_xlfn.XLOOKUP($A151,Sheet5!$B:$B,Sheet5!I:I)</f>
        <v>0</v>
      </c>
      <c r="R151" s="8">
        <f>_xlfn.XLOOKUP($A151,Sheet5!$B:$B,Sheet5!J:J)</f>
        <v>0</v>
      </c>
      <c r="S151" s="8">
        <f>_xlfn.XLOOKUP($A151,Sheet6!$B:$B,Sheet6!H:H)</f>
        <v>100</v>
      </c>
      <c r="T151" s="8">
        <f>_xlfn.XLOOKUP($A151,Sheet6!$B:$B,Sheet6!I:I)</f>
        <v>100</v>
      </c>
      <c r="U151" s="9">
        <f>_xlfn.XLOOKUP($A151,Sheet6!$B:$B,Sheet6!J:J)</f>
        <v>0</v>
      </c>
      <c r="V151" s="8">
        <f>_xlfn.XLOOKUP($A151,Sheet7!$B:$B,Sheet7!H:H)</f>
        <v>30</v>
      </c>
      <c r="W151" s="8">
        <f>_xlfn.XLOOKUP($A151,Sheet7!$B:$B,Sheet7!I:I)</f>
        <v>0</v>
      </c>
      <c r="X151" s="8">
        <f>_xlfn.XLOOKUP($A151,Sheet7!$B:$B,Sheet7!J:J)</f>
        <v>0</v>
      </c>
      <c r="Y151" s="8">
        <f>_xlfn.XLOOKUP($A151,Sheet8!$B:$B,Sheet8!H:H)</f>
        <v>100</v>
      </c>
      <c r="Z151" s="8">
        <f>_xlfn.XLOOKUP($A151,Sheet8!$B:$B,Sheet8!I:I)</f>
        <v>0</v>
      </c>
      <c r="AA151" s="9">
        <f>_xlfn.XLOOKUP($A151,Sheet8!$B:$B,Sheet8!J:J)</f>
        <v>0</v>
      </c>
      <c r="AB151" s="6">
        <f>_xlfn.XLOOKUP($A151,Sheet1!$B:$B,Sheet1!G:G,0)+_xlfn.XLOOKUP($A151,Sheet2!$B:$B,Sheet2!G:G,0)</f>
        <v>0</v>
      </c>
      <c r="AC151" s="6">
        <f>_xlfn.XLOOKUP($A151,Sheet3!$B:$B,Sheet3!G:G,0)+_xlfn.XLOOKUP($A151,Sheet4!$B:$B,Sheet4!G:G,0)</f>
        <v>210</v>
      </c>
      <c r="AD151" s="6">
        <f>_xlfn.XLOOKUP($A151,Sheet5!$B:$B,Sheet5!G:G,0)+_xlfn.XLOOKUP($A151,Sheet6!$B:$B,Sheet6!G:G,0)</f>
        <v>200</v>
      </c>
      <c r="AE151" s="6">
        <f>_xlfn.XLOOKUP($A151,Sheet7!$B:$B,Sheet7!G:G,0)+_xlfn.XLOOKUP($A151,Sheet8!$B:$B,Sheet8!G:G,0)</f>
        <v>130</v>
      </c>
      <c r="AF151" s="6" cm="1">
        <f t="array" ref="AF151">SUM(IFERROR(AB151:AE151,0))</f>
        <v>540</v>
      </c>
      <c r="AG151" s="6">
        <f t="shared" si="2"/>
        <v>148</v>
      </c>
    </row>
    <row r="152" spans="1:33" ht="15.6" x14ac:dyDescent="0.3">
      <c r="A152" s="6" t="s">
        <v>170</v>
      </c>
      <c r="B152" s="6" t="str">
        <f>_xlfn.XLOOKUP($A152,Sheet3!$B:$B,Sheet3!D:D)</f>
        <v>长郡中学</v>
      </c>
      <c r="C152" s="7" t="str">
        <f>_xlfn.XLOOKUP($A152,Sheet3!$B:$B,Sheet3!E:E)</f>
        <v>周雨衡</v>
      </c>
      <c r="D152" s="6">
        <f>_xlfn.XLOOKUP($A152,Sheet1!$B:$B,Sheet1!H:H)</f>
        <v>100</v>
      </c>
      <c r="E152" s="6">
        <f>_xlfn.XLOOKUP($A152,Sheet1!$B:$B,Sheet1!I:I)</f>
        <v>27</v>
      </c>
      <c r="F152" s="6">
        <f>_xlfn.XLOOKUP($A152,Sheet1!$B:$B,Sheet1!J:J)</f>
        <v>0</v>
      </c>
      <c r="G152" s="6">
        <f>_xlfn.XLOOKUP($A152,Sheet2!$B:$B,Sheet2!H:H)</f>
        <v>100</v>
      </c>
      <c r="H152" s="6">
        <f>_xlfn.XLOOKUP($A152,Sheet2!$B:$B,Sheet2!I:I)</f>
        <v>56</v>
      </c>
      <c r="I152" s="7">
        <f>_xlfn.XLOOKUP($A152,Sheet2!$B:$B,Sheet2!J:J)</f>
        <v>12</v>
      </c>
      <c r="J152" s="8">
        <f>_xlfn.XLOOKUP($A152,Sheet3!$B:$B,Sheet3!H:H)</f>
        <v>84</v>
      </c>
      <c r="K152" s="8">
        <f>_xlfn.XLOOKUP($A152,Sheet3!$B:$B,Sheet3!I:I)</f>
        <v>100</v>
      </c>
      <c r="L152" s="8">
        <f>_xlfn.XLOOKUP($A152,Sheet3!$B:$B,Sheet3!J:J)</f>
        <v>40</v>
      </c>
      <c r="M152" s="8" t="e">
        <f>_xlfn.XLOOKUP($A152,Sheet4!$B:$B,Sheet4!H:H)</f>
        <v>#N/A</v>
      </c>
      <c r="N152" s="8" t="e">
        <f>_xlfn.XLOOKUP($A152,Sheet4!$B:$B,Sheet4!I:I)</f>
        <v>#N/A</v>
      </c>
      <c r="O152" s="9" t="e">
        <f>_xlfn.XLOOKUP($A152,Sheet4!$B:$B,Sheet4!J:J)</f>
        <v>#N/A</v>
      </c>
      <c r="P152" s="8" t="e">
        <f>_xlfn.XLOOKUP($A152,Sheet5!$B:$B,Sheet5!H:H)</f>
        <v>#N/A</v>
      </c>
      <c r="Q152" s="8" t="e">
        <f>_xlfn.XLOOKUP($A152,Sheet5!$B:$B,Sheet5!I:I)</f>
        <v>#N/A</v>
      </c>
      <c r="R152" s="8" t="e">
        <f>_xlfn.XLOOKUP($A152,Sheet5!$B:$B,Sheet5!J:J)</f>
        <v>#N/A</v>
      </c>
      <c r="S152" s="8" t="e">
        <f>_xlfn.XLOOKUP($A152,Sheet6!$B:$B,Sheet6!H:H)</f>
        <v>#N/A</v>
      </c>
      <c r="T152" s="8" t="e">
        <f>_xlfn.XLOOKUP($A152,Sheet6!$B:$B,Sheet6!I:I)</f>
        <v>#N/A</v>
      </c>
      <c r="U152" s="9" t="e">
        <f>_xlfn.XLOOKUP($A152,Sheet6!$B:$B,Sheet6!J:J)</f>
        <v>#N/A</v>
      </c>
      <c r="V152" s="8" t="e">
        <f>_xlfn.XLOOKUP($A152,Sheet7!$B:$B,Sheet7!H:H)</f>
        <v>#N/A</v>
      </c>
      <c r="W152" s="8" t="e">
        <f>_xlfn.XLOOKUP($A152,Sheet7!$B:$B,Sheet7!I:I)</f>
        <v>#N/A</v>
      </c>
      <c r="X152" s="8" t="e">
        <f>_xlfn.XLOOKUP($A152,Sheet7!$B:$B,Sheet7!J:J)</f>
        <v>#N/A</v>
      </c>
      <c r="Y152" s="8" t="e">
        <f>_xlfn.XLOOKUP($A152,Sheet8!$B:$B,Sheet8!H:H)</f>
        <v>#N/A</v>
      </c>
      <c r="Z152" s="8" t="e">
        <f>_xlfn.XLOOKUP($A152,Sheet8!$B:$B,Sheet8!I:I)</f>
        <v>#N/A</v>
      </c>
      <c r="AA152" s="9" t="e">
        <f>_xlfn.XLOOKUP($A152,Sheet8!$B:$B,Sheet8!J:J)</f>
        <v>#N/A</v>
      </c>
      <c r="AB152" s="6">
        <f>_xlfn.XLOOKUP($A152,Sheet1!$B:$B,Sheet1!G:G,0)+_xlfn.XLOOKUP($A152,Sheet2!$B:$B,Sheet2!G:G,0)</f>
        <v>295</v>
      </c>
      <c r="AC152" s="6">
        <f>_xlfn.XLOOKUP($A152,Sheet3!$B:$B,Sheet3!G:G,0)+_xlfn.XLOOKUP($A152,Sheet4!$B:$B,Sheet4!G:G,0)</f>
        <v>224</v>
      </c>
      <c r="AD152" s="6">
        <f>_xlfn.XLOOKUP($A152,Sheet5!$B:$B,Sheet5!G:G,0)+_xlfn.XLOOKUP($A152,Sheet6!$B:$B,Sheet6!G:G,0)</f>
        <v>0</v>
      </c>
      <c r="AE152" s="6">
        <f>_xlfn.XLOOKUP($A152,Sheet7!$B:$B,Sheet7!G:G,0)+_xlfn.XLOOKUP($A152,Sheet8!$B:$B,Sheet8!G:G,0)</f>
        <v>0</v>
      </c>
      <c r="AF152" s="6" cm="1">
        <f t="array" ref="AF152">SUM(IFERROR(AB152:AE152,0))</f>
        <v>519</v>
      </c>
      <c r="AG152" s="6">
        <f t="shared" si="2"/>
        <v>149</v>
      </c>
    </row>
    <row r="153" spans="1:33" ht="15.6" x14ac:dyDescent="0.3">
      <c r="A153" s="6" t="s">
        <v>420</v>
      </c>
      <c r="B153" s="6" t="str">
        <f>_xlfn.XLOOKUP($A153,Sheet3!$B:$B,Sheet3!D:D)</f>
        <v>广东省汕头市金山中学</v>
      </c>
      <c r="C153" s="7" t="str">
        <f>_xlfn.XLOOKUP($A153,Sheet3!$B:$B,Sheet3!E:E)</f>
        <v>郑祺</v>
      </c>
      <c r="D153" s="6">
        <f>_xlfn.XLOOKUP($A153,Sheet1!$B:$B,Sheet1!H:H)</f>
        <v>24</v>
      </c>
      <c r="E153" s="6">
        <f>_xlfn.XLOOKUP($A153,Sheet1!$B:$B,Sheet1!I:I)</f>
        <v>0</v>
      </c>
      <c r="F153" s="6">
        <f>_xlfn.XLOOKUP($A153,Sheet1!$B:$B,Sheet1!J:J)</f>
        <v>0</v>
      </c>
      <c r="G153" s="6">
        <f>_xlfn.XLOOKUP($A153,Sheet2!$B:$B,Sheet2!H:H)</f>
        <v>35</v>
      </c>
      <c r="H153" s="6">
        <f>_xlfn.XLOOKUP($A153,Sheet2!$B:$B,Sheet2!I:I)</f>
        <v>8</v>
      </c>
      <c r="I153" s="7">
        <f>_xlfn.XLOOKUP($A153,Sheet2!$B:$B,Sheet2!J:J)</f>
        <v>17</v>
      </c>
      <c r="J153" s="8">
        <f>_xlfn.XLOOKUP($A153,Sheet3!$B:$B,Sheet3!H:H)</f>
        <v>100</v>
      </c>
      <c r="K153" s="8">
        <f>_xlfn.XLOOKUP($A153,Sheet3!$B:$B,Sheet3!I:I)</f>
        <v>40</v>
      </c>
      <c r="L153" s="8">
        <f>_xlfn.XLOOKUP($A153,Sheet3!$B:$B,Sheet3!J:J)</f>
        <v>20</v>
      </c>
      <c r="M153" s="8">
        <f>_xlfn.XLOOKUP($A153,Sheet4!$B:$B,Sheet4!H:H)</f>
        <v>60</v>
      </c>
      <c r="N153" s="8">
        <f>_xlfn.XLOOKUP($A153,Sheet4!$B:$B,Sheet4!I:I)</f>
        <v>11</v>
      </c>
      <c r="O153" s="9">
        <f>_xlfn.XLOOKUP($A153,Sheet4!$B:$B,Sheet4!J:J)</f>
        <v>1</v>
      </c>
      <c r="P153" s="8">
        <f>_xlfn.XLOOKUP($A153,Sheet5!$B:$B,Sheet5!H:H)</f>
        <v>0</v>
      </c>
      <c r="Q153" s="8">
        <f>_xlfn.XLOOKUP($A153,Sheet5!$B:$B,Sheet5!I:I)</f>
        <v>32</v>
      </c>
      <c r="R153" s="8">
        <f>_xlfn.XLOOKUP($A153,Sheet5!$B:$B,Sheet5!J:J)</f>
        <v>0</v>
      </c>
      <c r="S153" s="8">
        <f>_xlfn.XLOOKUP($A153,Sheet6!$B:$B,Sheet6!H:H)</f>
        <v>100</v>
      </c>
      <c r="T153" s="8">
        <f>_xlfn.XLOOKUP($A153,Sheet6!$B:$B,Sheet6!I:I)</f>
        <v>36</v>
      </c>
      <c r="U153" s="9">
        <f>_xlfn.XLOOKUP($A153,Sheet6!$B:$B,Sheet6!J:J)</f>
        <v>4</v>
      </c>
      <c r="V153" s="8">
        <f>_xlfn.XLOOKUP($A153,Sheet7!$B:$B,Sheet7!H:H)</f>
        <v>0</v>
      </c>
      <c r="W153" s="8">
        <f>_xlfn.XLOOKUP($A153,Sheet7!$B:$B,Sheet7!I:I)</f>
        <v>0</v>
      </c>
      <c r="X153" s="8">
        <f>_xlfn.XLOOKUP($A153,Sheet7!$B:$B,Sheet7!J:J)</f>
        <v>13</v>
      </c>
      <c r="Y153" s="8">
        <f>_xlfn.XLOOKUP($A153,Sheet8!$B:$B,Sheet8!H:H)</f>
        <v>0</v>
      </c>
      <c r="Z153" s="8">
        <f>_xlfn.XLOOKUP($A153,Sheet8!$B:$B,Sheet8!I:I)</f>
        <v>0</v>
      </c>
      <c r="AA153" s="9">
        <f>_xlfn.XLOOKUP($A153,Sheet8!$B:$B,Sheet8!J:J)</f>
        <v>0</v>
      </c>
      <c r="AB153" s="6">
        <f>_xlfn.XLOOKUP($A153,Sheet1!$B:$B,Sheet1!G:G,0)+_xlfn.XLOOKUP($A153,Sheet2!$B:$B,Sheet2!G:G,0)</f>
        <v>84</v>
      </c>
      <c r="AC153" s="6">
        <f>_xlfn.XLOOKUP($A153,Sheet3!$B:$B,Sheet3!G:G,0)+_xlfn.XLOOKUP($A153,Sheet4!$B:$B,Sheet4!G:G,0)</f>
        <v>232</v>
      </c>
      <c r="AD153" s="6">
        <f>_xlfn.XLOOKUP($A153,Sheet5!$B:$B,Sheet5!G:G,0)+_xlfn.XLOOKUP($A153,Sheet6!$B:$B,Sheet6!G:G,0)</f>
        <v>172</v>
      </c>
      <c r="AE153" s="6">
        <f>_xlfn.XLOOKUP($A153,Sheet7!$B:$B,Sheet7!G:G,0)+_xlfn.XLOOKUP($A153,Sheet8!$B:$B,Sheet8!G:G,0)</f>
        <v>13</v>
      </c>
      <c r="AF153" s="6" cm="1">
        <f t="array" ref="AF153">SUM(IFERROR(AB153:AE153,0))</f>
        <v>501</v>
      </c>
      <c r="AG153" s="6">
        <f t="shared" si="2"/>
        <v>150</v>
      </c>
    </row>
    <row r="154" spans="1:33" ht="15.6" x14ac:dyDescent="0.3">
      <c r="A154" s="6" t="s">
        <v>381</v>
      </c>
      <c r="B154" s="6" t="str">
        <f>_xlfn.XLOOKUP($A154,Sheet3!$B:$B,Sheet3!D:D)</f>
        <v>深圳市福田区红岭中学</v>
      </c>
      <c r="C154" s="7" t="str">
        <f>_xlfn.XLOOKUP($A154,Sheet3!$B:$B,Sheet3!E:E)</f>
        <v>陈悦扬</v>
      </c>
      <c r="D154" s="6">
        <f>_xlfn.XLOOKUP($A154,Sheet1!$B:$B,Sheet1!H:H)</f>
        <v>24</v>
      </c>
      <c r="E154" s="6">
        <f>_xlfn.XLOOKUP($A154,Sheet1!$B:$B,Sheet1!I:I)</f>
        <v>0</v>
      </c>
      <c r="F154" s="6">
        <f>_xlfn.XLOOKUP($A154,Sheet1!$B:$B,Sheet1!J:J)</f>
        <v>7</v>
      </c>
      <c r="G154" s="6">
        <f>_xlfn.XLOOKUP($A154,Sheet2!$B:$B,Sheet2!H:H)</f>
        <v>35</v>
      </c>
      <c r="H154" s="6">
        <f>_xlfn.XLOOKUP($A154,Sheet2!$B:$B,Sheet2!I:I)</f>
        <v>8</v>
      </c>
      <c r="I154" s="7">
        <f>_xlfn.XLOOKUP($A154,Sheet2!$B:$B,Sheet2!J:J)</f>
        <v>0</v>
      </c>
      <c r="J154" s="8">
        <f>_xlfn.XLOOKUP($A154,Sheet3!$B:$B,Sheet3!H:H)</f>
        <v>53</v>
      </c>
      <c r="K154" s="8">
        <f>_xlfn.XLOOKUP($A154,Sheet3!$B:$B,Sheet3!I:I)</f>
        <v>0</v>
      </c>
      <c r="L154" s="8">
        <f>_xlfn.XLOOKUP($A154,Sheet3!$B:$B,Sheet3!J:J)</f>
        <v>0</v>
      </c>
      <c r="M154" s="8">
        <f>_xlfn.XLOOKUP($A154,Sheet4!$B:$B,Sheet4!H:H)</f>
        <v>22</v>
      </c>
      <c r="N154" s="8">
        <f>_xlfn.XLOOKUP($A154,Sheet4!$B:$B,Sheet4!I:I)</f>
        <v>0</v>
      </c>
      <c r="O154" s="9">
        <f>_xlfn.XLOOKUP($A154,Sheet4!$B:$B,Sheet4!J:J)</f>
        <v>0</v>
      </c>
      <c r="P154" s="8">
        <f>_xlfn.XLOOKUP($A154,Sheet5!$B:$B,Sheet5!H:H)</f>
        <v>100</v>
      </c>
      <c r="Q154" s="8">
        <f>_xlfn.XLOOKUP($A154,Sheet5!$B:$B,Sheet5!I:I)</f>
        <v>32</v>
      </c>
      <c r="R154" s="8">
        <f>_xlfn.XLOOKUP($A154,Sheet5!$B:$B,Sheet5!J:J)</f>
        <v>0</v>
      </c>
      <c r="S154" s="8">
        <f>_xlfn.XLOOKUP($A154,Sheet6!$B:$B,Sheet6!H:H)</f>
        <v>100</v>
      </c>
      <c r="T154" s="8">
        <f>_xlfn.XLOOKUP($A154,Sheet6!$B:$B,Sheet6!I:I)</f>
        <v>36</v>
      </c>
      <c r="U154" s="9">
        <f>_xlfn.XLOOKUP($A154,Sheet6!$B:$B,Sheet6!J:J)</f>
        <v>0</v>
      </c>
      <c r="V154" s="8">
        <f>_xlfn.XLOOKUP($A154,Sheet7!$B:$B,Sheet7!H:H)</f>
        <v>30</v>
      </c>
      <c r="W154" s="8">
        <f>_xlfn.XLOOKUP($A154,Sheet7!$B:$B,Sheet7!I:I)</f>
        <v>20</v>
      </c>
      <c r="X154" s="8">
        <f>_xlfn.XLOOKUP($A154,Sheet7!$B:$B,Sheet7!J:J)</f>
        <v>0</v>
      </c>
      <c r="Y154" s="8">
        <f>_xlfn.XLOOKUP($A154,Sheet8!$B:$B,Sheet8!H:H)</f>
        <v>0</v>
      </c>
      <c r="Z154" s="8">
        <f>_xlfn.XLOOKUP($A154,Sheet8!$B:$B,Sheet8!I:I)</f>
        <v>0</v>
      </c>
      <c r="AA154" s="9">
        <f>_xlfn.XLOOKUP($A154,Sheet8!$B:$B,Sheet8!J:J)</f>
        <v>0</v>
      </c>
      <c r="AB154" s="6">
        <f>_xlfn.XLOOKUP($A154,Sheet1!$B:$B,Sheet1!G:G,0)+_xlfn.XLOOKUP($A154,Sheet2!$B:$B,Sheet2!G:G,0)</f>
        <v>74</v>
      </c>
      <c r="AC154" s="6">
        <f>_xlfn.XLOOKUP($A154,Sheet3!$B:$B,Sheet3!G:G,0)+_xlfn.XLOOKUP($A154,Sheet4!$B:$B,Sheet4!G:G,0)</f>
        <v>75</v>
      </c>
      <c r="AD154" s="6">
        <f>_xlfn.XLOOKUP($A154,Sheet5!$B:$B,Sheet5!G:G,0)+_xlfn.XLOOKUP($A154,Sheet6!$B:$B,Sheet6!G:G,0)</f>
        <v>268</v>
      </c>
      <c r="AE154" s="6">
        <f>_xlfn.XLOOKUP($A154,Sheet7!$B:$B,Sheet7!G:G,0)+_xlfn.XLOOKUP($A154,Sheet8!$B:$B,Sheet8!G:G,0)</f>
        <v>50</v>
      </c>
      <c r="AF154" s="6" cm="1">
        <f t="array" ref="AF154">SUM(IFERROR(AB154:AE154,0))</f>
        <v>467</v>
      </c>
      <c r="AG154" s="6">
        <f t="shared" si="2"/>
        <v>151</v>
      </c>
    </row>
    <row r="155" spans="1:33" ht="15.6" x14ac:dyDescent="0.3">
      <c r="A155" s="6" t="s">
        <v>303</v>
      </c>
      <c r="B155" s="6" t="str">
        <f>_xlfn.XLOOKUP($A155,Sheet3!$B:$B,Sheet3!D:D)</f>
        <v>广东省汕头市金山中学</v>
      </c>
      <c r="C155" s="7" t="str">
        <f>_xlfn.XLOOKUP($A155,Sheet3!$B:$B,Sheet3!E:E)</f>
        <v>杨其臻</v>
      </c>
      <c r="D155" s="6">
        <f>_xlfn.XLOOKUP($A155,Sheet1!$B:$B,Sheet1!H:H)</f>
        <v>24</v>
      </c>
      <c r="E155" s="6">
        <f>_xlfn.XLOOKUP($A155,Sheet1!$B:$B,Sheet1!I:I)</f>
        <v>27</v>
      </c>
      <c r="F155" s="6">
        <f>_xlfn.XLOOKUP($A155,Sheet1!$B:$B,Sheet1!J:J)</f>
        <v>0</v>
      </c>
      <c r="G155" s="6">
        <f>_xlfn.XLOOKUP($A155,Sheet2!$B:$B,Sheet2!H:H)</f>
        <v>10</v>
      </c>
      <c r="H155" s="6">
        <f>_xlfn.XLOOKUP($A155,Sheet2!$B:$B,Sheet2!I:I)</f>
        <v>0</v>
      </c>
      <c r="I155" s="7">
        <f>_xlfn.XLOOKUP($A155,Sheet2!$B:$B,Sheet2!J:J)</f>
        <v>0</v>
      </c>
      <c r="J155" s="8">
        <f>_xlfn.XLOOKUP($A155,Sheet3!$B:$B,Sheet3!H:H)</f>
        <v>83</v>
      </c>
      <c r="K155" s="8">
        <f>_xlfn.XLOOKUP($A155,Sheet3!$B:$B,Sheet3!I:I)</f>
        <v>20</v>
      </c>
      <c r="L155" s="8">
        <f>_xlfn.XLOOKUP($A155,Sheet3!$B:$B,Sheet3!J:J)</f>
        <v>10</v>
      </c>
      <c r="M155" s="8">
        <f>_xlfn.XLOOKUP($A155,Sheet4!$B:$B,Sheet4!H:H)</f>
        <v>60</v>
      </c>
      <c r="N155" s="8">
        <f>_xlfn.XLOOKUP($A155,Sheet4!$B:$B,Sheet4!I:I)</f>
        <v>11</v>
      </c>
      <c r="O155" s="9">
        <f>_xlfn.XLOOKUP($A155,Sheet4!$B:$B,Sheet4!J:J)</f>
        <v>1</v>
      </c>
      <c r="P155" s="8">
        <f>_xlfn.XLOOKUP($A155,Sheet5!$B:$B,Sheet5!H:H)</f>
        <v>55</v>
      </c>
      <c r="Q155" s="8">
        <f>_xlfn.XLOOKUP($A155,Sheet5!$B:$B,Sheet5!I:I)</f>
        <v>0</v>
      </c>
      <c r="R155" s="8">
        <f>_xlfn.XLOOKUP($A155,Sheet5!$B:$B,Sheet5!J:J)</f>
        <v>0</v>
      </c>
      <c r="S155" s="8">
        <f>_xlfn.XLOOKUP($A155,Sheet6!$B:$B,Sheet6!H:H)</f>
        <v>100</v>
      </c>
      <c r="T155" s="8">
        <f>_xlfn.XLOOKUP($A155,Sheet6!$B:$B,Sheet6!I:I)</f>
        <v>36</v>
      </c>
      <c r="U155" s="9">
        <f>_xlfn.XLOOKUP($A155,Sheet6!$B:$B,Sheet6!J:J)</f>
        <v>4</v>
      </c>
      <c r="V155" s="8">
        <f>_xlfn.XLOOKUP($A155,Sheet7!$B:$B,Sheet7!H:H)</f>
        <v>0</v>
      </c>
      <c r="W155" s="8">
        <f>_xlfn.XLOOKUP($A155,Sheet7!$B:$B,Sheet7!I:I)</f>
        <v>0</v>
      </c>
      <c r="X155" s="8">
        <f>_xlfn.XLOOKUP($A155,Sheet7!$B:$B,Sheet7!J:J)</f>
        <v>0</v>
      </c>
      <c r="Y155" s="8">
        <f>_xlfn.XLOOKUP($A155,Sheet8!$B:$B,Sheet8!H:H)</f>
        <v>0</v>
      </c>
      <c r="Z155" s="8">
        <f>_xlfn.XLOOKUP($A155,Sheet8!$B:$B,Sheet8!I:I)</f>
        <v>0</v>
      </c>
      <c r="AA155" s="9">
        <f>_xlfn.XLOOKUP($A155,Sheet8!$B:$B,Sheet8!J:J)</f>
        <v>0</v>
      </c>
      <c r="AB155" s="6">
        <f>_xlfn.XLOOKUP($A155,Sheet1!$B:$B,Sheet1!G:G,0)+_xlfn.XLOOKUP($A155,Sheet2!$B:$B,Sheet2!G:G,0)</f>
        <v>61</v>
      </c>
      <c r="AC155" s="6">
        <f>_xlfn.XLOOKUP($A155,Sheet3!$B:$B,Sheet3!G:G,0)+_xlfn.XLOOKUP($A155,Sheet4!$B:$B,Sheet4!G:G,0)</f>
        <v>185</v>
      </c>
      <c r="AD155" s="6">
        <f>_xlfn.XLOOKUP($A155,Sheet5!$B:$B,Sheet5!G:G,0)+_xlfn.XLOOKUP($A155,Sheet6!$B:$B,Sheet6!G:G,0)</f>
        <v>195</v>
      </c>
      <c r="AE155" s="6">
        <f>_xlfn.XLOOKUP($A155,Sheet7!$B:$B,Sheet7!G:G,0)+_xlfn.XLOOKUP($A155,Sheet8!$B:$B,Sheet8!G:G,0)</f>
        <v>0</v>
      </c>
      <c r="AF155" s="6" cm="1">
        <f t="array" ref="AF155">SUM(IFERROR(AB155:AE155,0))</f>
        <v>441</v>
      </c>
      <c r="AG155" s="6">
        <f t="shared" si="2"/>
        <v>152</v>
      </c>
    </row>
    <row r="156" spans="1:33" ht="15.6" x14ac:dyDescent="0.3">
      <c r="A156" s="6" t="s">
        <v>494</v>
      </c>
      <c r="B156" s="6" t="str">
        <f>_xlfn.XLOOKUP($A156,Sheet3!$B:$B,Sheet3!D:D)</f>
        <v>中山市中山纪念中学</v>
      </c>
      <c r="C156" s="7" t="str">
        <f>_xlfn.XLOOKUP($A156,Sheet3!$B:$B,Sheet3!E:E)</f>
        <v>梁君熙</v>
      </c>
      <c r="D156" s="6">
        <f>_xlfn.XLOOKUP($A156,Sheet1!$B:$B,Sheet1!H:H)</f>
        <v>0</v>
      </c>
      <c r="E156" s="6">
        <f>_xlfn.XLOOKUP($A156,Sheet1!$B:$B,Sheet1!I:I)</f>
        <v>0</v>
      </c>
      <c r="F156" s="6">
        <f>_xlfn.XLOOKUP($A156,Sheet1!$B:$B,Sheet1!J:J)</f>
        <v>7</v>
      </c>
      <c r="G156" s="6">
        <f>_xlfn.XLOOKUP($A156,Sheet2!$B:$B,Sheet2!H:H)</f>
        <v>35</v>
      </c>
      <c r="H156" s="6">
        <f>_xlfn.XLOOKUP($A156,Sheet2!$B:$B,Sheet2!I:I)</f>
        <v>0</v>
      </c>
      <c r="I156" s="7">
        <f>_xlfn.XLOOKUP($A156,Sheet2!$B:$B,Sheet2!J:J)</f>
        <v>12</v>
      </c>
      <c r="J156" s="8">
        <f>_xlfn.XLOOKUP($A156,Sheet3!$B:$B,Sheet3!H:H)</f>
        <v>84</v>
      </c>
      <c r="K156" s="8">
        <f>_xlfn.XLOOKUP($A156,Sheet3!$B:$B,Sheet3!I:I)</f>
        <v>20</v>
      </c>
      <c r="L156" s="8">
        <f>_xlfn.XLOOKUP($A156,Sheet3!$B:$B,Sheet3!J:J)</f>
        <v>0</v>
      </c>
      <c r="M156" s="8">
        <f>_xlfn.XLOOKUP($A156,Sheet4!$B:$B,Sheet4!H:H)</f>
        <v>60</v>
      </c>
      <c r="N156" s="8">
        <f>_xlfn.XLOOKUP($A156,Sheet4!$B:$B,Sheet4!I:I)</f>
        <v>0</v>
      </c>
      <c r="O156" s="9">
        <f>_xlfn.XLOOKUP($A156,Sheet4!$B:$B,Sheet4!J:J)</f>
        <v>1</v>
      </c>
      <c r="P156" s="8">
        <f>_xlfn.XLOOKUP($A156,Sheet5!$B:$B,Sheet5!H:H)</f>
        <v>55</v>
      </c>
      <c r="Q156" s="8">
        <f>_xlfn.XLOOKUP($A156,Sheet5!$B:$B,Sheet5!I:I)</f>
        <v>12</v>
      </c>
      <c r="R156" s="8">
        <f>_xlfn.XLOOKUP($A156,Sheet5!$B:$B,Sheet5!J:J)</f>
        <v>0</v>
      </c>
      <c r="S156" s="8">
        <f>_xlfn.XLOOKUP($A156,Sheet6!$B:$B,Sheet6!H:H)</f>
        <v>0</v>
      </c>
      <c r="T156" s="8">
        <f>_xlfn.XLOOKUP($A156,Sheet6!$B:$B,Sheet6!I:I)</f>
        <v>36</v>
      </c>
      <c r="U156" s="9">
        <f>_xlfn.XLOOKUP($A156,Sheet6!$B:$B,Sheet6!J:J)</f>
        <v>16</v>
      </c>
      <c r="V156" s="8">
        <f>_xlfn.XLOOKUP($A156,Sheet7!$B:$B,Sheet7!H:H)</f>
        <v>30</v>
      </c>
      <c r="W156" s="8">
        <f>_xlfn.XLOOKUP($A156,Sheet7!$B:$B,Sheet7!I:I)</f>
        <v>0</v>
      </c>
      <c r="X156" s="8">
        <f>_xlfn.XLOOKUP($A156,Sheet7!$B:$B,Sheet7!J:J)</f>
        <v>0</v>
      </c>
      <c r="Y156" s="8">
        <f>_xlfn.XLOOKUP($A156,Sheet8!$B:$B,Sheet8!H:H)</f>
        <v>70</v>
      </c>
      <c r="Z156" s="8">
        <f>_xlfn.XLOOKUP($A156,Sheet8!$B:$B,Sheet8!I:I)</f>
        <v>0</v>
      </c>
      <c r="AA156" s="9">
        <f>_xlfn.XLOOKUP($A156,Sheet8!$B:$B,Sheet8!J:J)</f>
        <v>0</v>
      </c>
      <c r="AB156" s="6">
        <f>_xlfn.XLOOKUP($A156,Sheet1!$B:$B,Sheet1!G:G,0)+_xlfn.XLOOKUP($A156,Sheet2!$B:$B,Sheet2!G:G,0)</f>
        <v>54</v>
      </c>
      <c r="AC156" s="6">
        <f>_xlfn.XLOOKUP($A156,Sheet3!$B:$B,Sheet3!G:G,0)+_xlfn.XLOOKUP($A156,Sheet4!$B:$B,Sheet4!G:G,0)</f>
        <v>165</v>
      </c>
      <c r="AD156" s="6">
        <f>_xlfn.XLOOKUP($A156,Sheet5!$B:$B,Sheet5!G:G,0)+_xlfn.XLOOKUP($A156,Sheet6!$B:$B,Sheet6!G:G,0)</f>
        <v>119</v>
      </c>
      <c r="AE156" s="6">
        <f>_xlfn.XLOOKUP($A156,Sheet7!$B:$B,Sheet7!G:G,0)+_xlfn.XLOOKUP($A156,Sheet8!$B:$B,Sheet8!G:G,0)</f>
        <v>100</v>
      </c>
      <c r="AF156" s="6" cm="1">
        <f t="array" ref="AF156">SUM(IFERROR(AB156:AE156,0))</f>
        <v>438</v>
      </c>
      <c r="AG156" s="6">
        <f t="shared" si="2"/>
        <v>153</v>
      </c>
    </row>
    <row r="157" spans="1:33" ht="15.6" x14ac:dyDescent="0.3">
      <c r="A157" s="6" t="s">
        <v>409</v>
      </c>
      <c r="B157" s="6" t="str">
        <f>_xlfn.XLOOKUP($A157,Sheet3!$B:$B,Sheet3!D:D)</f>
        <v>华南师范大学附属中学</v>
      </c>
      <c r="C157" s="7" t="str">
        <f>_xlfn.XLOOKUP($A157,Sheet3!$B:$B,Sheet3!E:E)</f>
        <v>吕林熹</v>
      </c>
      <c r="D157" s="6">
        <f>_xlfn.XLOOKUP($A157,Sheet1!$B:$B,Sheet1!H:H)</f>
        <v>24</v>
      </c>
      <c r="E157" s="6">
        <f>_xlfn.XLOOKUP($A157,Sheet1!$B:$B,Sheet1!I:I)</f>
        <v>0</v>
      </c>
      <c r="F157" s="6">
        <f>_xlfn.XLOOKUP($A157,Sheet1!$B:$B,Sheet1!J:J)</f>
        <v>0</v>
      </c>
      <c r="G157" s="6">
        <f>_xlfn.XLOOKUP($A157,Sheet2!$B:$B,Sheet2!H:H)</f>
        <v>100</v>
      </c>
      <c r="H157" s="6">
        <f>_xlfn.XLOOKUP($A157,Sheet2!$B:$B,Sheet2!I:I)</f>
        <v>0</v>
      </c>
      <c r="I157" s="7">
        <f>_xlfn.XLOOKUP($A157,Sheet2!$B:$B,Sheet2!J:J)</f>
        <v>0</v>
      </c>
      <c r="J157" s="8">
        <f>_xlfn.XLOOKUP($A157,Sheet3!$B:$B,Sheet3!H:H)</f>
        <v>83</v>
      </c>
      <c r="K157" s="8">
        <f>_xlfn.XLOOKUP($A157,Sheet3!$B:$B,Sheet3!I:I)</f>
        <v>40</v>
      </c>
      <c r="L157" s="8">
        <f>_xlfn.XLOOKUP($A157,Sheet3!$B:$B,Sheet3!J:J)</f>
        <v>20</v>
      </c>
      <c r="M157" s="8">
        <f>_xlfn.XLOOKUP($A157,Sheet4!$B:$B,Sheet4!H:H)</f>
        <v>50</v>
      </c>
      <c r="N157" s="8">
        <f>_xlfn.XLOOKUP($A157,Sheet4!$B:$B,Sheet4!I:I)</f>
        <v>10</v>
      </c>
      <c r="O157" s="9">
        <f>_xlfn.XLOOKUP($A157,Sheet4!$B:$B,Sheet4!J:J)</f>
        <v>1</v>
      </c>
      <c r="P157" s="8">
        <f>_xlfn.XLOOKUP($A157,Sheet5!$B:$B,Sheet5!H:H)</f>
        <v>0</v>
      </c>
      <c r="Q157" s="8">
        <f>_xlfn.XLOOKUP($A157,Sheet5!$B:$B,Sheet5!I:I)</f>
        <v>0</v>
      </c>
      <c r="R157" s="8">
        <f>_xlfn.XLOOKUP($A157,Sheet5!$B:$B,Sheet5!J:J)</f>
        <v>0</v>
      </c>
      <c r="S157" s="8">
        <f>_xlfn.XLOOKUP($A157,Sheet6!$B:$B,Sheet6!H:H)</f>
        <v>0</v>
      </c>
      <c r="T157" s="8">
        <f>_xlfn.XLOOKUP($A157,Sheet6!$B:$B,Sheet6!I:I)</f>
        <v>0</v>
      </c>
      <c r="U157" s="9">
        <f>_xlfn.XLOOKUP($A157,Sheet6!$B:$B,Sheet6!J:J)</f>
        <v>0</v>
      </c>
      <c r="V157" s="8">
        <f>_xlfn.XLOOKUP($A157,Sheet7!$B:$B,Sheet7!H:H)</f>
        <v>55</v>
      </c>
      <c r="W157" s="8">
        <f>_xlfn.XLOOKUP($A157,Sheet7!$B:$B,Sheet7!I:I)</f>
        <v>10</v>
      </c>
      <c r="X157" s="8">
        <f>_xlfn.XLOOKUP($A157,Sheet7!$B:$B,Sheet7!J:J)</f>
        <v>41</v>
      </c>
      <c r="Y157" s="8">
        <f>_xlfn.XLOOKUP($A157,Sheet8!$B:$B,Sheet8!H:H)</f>
        <v>0</v>
      </c>
      <c r="Z157" s="8">
        <f>_xlfn.XLOOKUP($A157,Sheet8!$B:$B,Sheet8!I:I)</f>
        <v>0</v>
      </c>
      <c r="AA157" s="9">
        <f>_xlfn.XLOOKUP($A157,Sheet8!$B:$B,Sheet8!J:J)</f>
        <v>0</v>
      </c>
      <c r="AB157" s="6">
        <f>_xlfn.XLOOKUP($A157,Sheet1!$B:$B,Sheet1!G:G,0)+_xlfn.XLOOKUP($A157,Sheet2!$B:$B,Sheet2!G:G,0)</f>
        <v>124</v>
      </c>
      <c r="AC157" s="6">
        <f>_xlfn.XLOOKUP($A157,Sheet3!$B:$B,Sheet3!G:G,0)+_xlfn.XLOOKUP($A157,Sheet4!$B:$B,Sheet4!G:G,0)</f>
        <v>204</v>
      </c>
      <c r="AD157" s="6">
        <f>_xlfn.XLOOKUP($A157,Sheet5!$B:$B,Sheet5!G:G,0)+_xlfn.XLOOKUP($A157,Sheet6!$B:$B,Sheet6!G:G,0)</f>
        <v>0</v>
      </c>
      <c r="AE157" s="6">
        <f>_xlfn.XLOOKUP($A157,Sheet7!$B:$B,Sheet7!G:G,0)+_xlfn.XLOOKUP($A157,Sheet8!$B:$B,Sheet8!G:G,0)</f>
        <v>106</v>
      </c>
      <c r="AF157" s="6" cm="1">
        <f t="array" ref="AF157">SUM(IFERROR(AB157:AE157,0))</f>
        <v>434</v>
      </c>
      <c r="AG157" s="6">
        <f t="shared" si="2"/>
        <v>154</v>
      </c>
    </row>
    <row r="158" spans="1:33" ht="15.6" x14ac:dyDescent="0.3">
      <c r="A158" s="6" t="s">
        <v>450</v>
      </c>
      <c r="B158" s="6" t="str">
        <f>_xlfn.XLOOKUP($A158,Sheet3!$B:$B,Sheet3!D:D)</f>
        <v>广东省汕头市金山中学</v>
      </c>
      <c r="C158" s="7" t="str">
        <f>_xlfn.XLOOKUP($A158,Sheet3!$B:$B,Sheet3!E:E)</f>
        <v>郭麓羲</v>
      </c>
      <c r="D158" s="6">
        <f>_xlfn.XLOOKUP($A158,Sheet1!$B:$B,Sheet1!H:H)</f>
        <v>24</v>
      </c>
      <c r="E158" s="6">
        <f>_xlfn.XLOOKUP($A158,Sheet1!$B:$B,Sheet1!I:I)</f>
        <v>0</v>
      </c>
      <c r="F158" s="6">
        <f>_xlfn.XLOOKUP($A158,Sheet1!$B:$B,Sheet1!J:J)</f>
        <v>0</v>
      </c>
      <c r="G158" s="6">
        <f>_xlfn.XLOOKUP($A158,Sheet2!$B:$B,Sheet2!H:H)</f>
        <v>25</v>
      </c>
      <c r="H158" s="6">
        <f>_xlfn.XLOOKUP($A158,Sheet2!$B:$B,Sheet2!I:I)</f>
        <v>0</v>
      </c>
      <c r="I158" s="7">
        <f>_xlfn.XLOOKUP($A158,Sheet2!$B:$B,Sheet2!J:J)</f>
        <v>0</v>
      </c>
      <c r="J158" s="8">
        <f>_xlfn.XLOOKUP($A158,Sheet3!$B:$B,Sheet3!H:H)</f>
        <v>84</v>
      </c>
      <c r="K158" s="8">
        <f>_xlfn.XLOOKUP($A158,Sheet3!$B:$B,Sheet3!I:I)</f>
        <v>20</v>
      </c>
      <c r="L158" s="8">
        <f>_xlfn.XLOOKUP($A158,Sheet3!$B:$B,Sheet3!J:J)</f>
        <v>40</v>
      </c>
      <c r="M158" s="8">
        <f>_xlfn.XLOOKUP($A158,Sheet4!$B:$B,Sheet4!H:H)</f>
        <v>30</v>
      </c>
      <c r="N158" s="8">
        <f>_xlfn.XLOOKUP($A158,Sheet4!$B:$B,Sheet4!I:I)</f>
        <v>11</v>
      </c>
      <c r="O158" s="9">
        <f>_xlfn.XLOOKUP($A158,Sheet4!$B:$B,Sheet4!J:J)</f>
        <v>1</v>
      </c>
      <c r="P158" s="8">
        <f>_xlfn.XLOOKUP($A158,Sheet5!$B:$B,Sheet5!H:H)</f>
        <v>60</v>
      </c>
      <c r="Q158" s="8">
        <f>_xlfn.XLOOKUP($A158,Sheet5!$B:$B,Sheet5!I:I)</f>
        <v>32</v>
      </c>
      <c r="R158" s="8">
        <f>_xlfn.XLOOKUP($A158,Sheet5!$B:$B,Sheet5!J:J)</f>
        <v>0</v>
      </c>
      <c r="S158" s="8">
        <f>_xlfn.XLOOKUP($A158,Sheet6!$B:$B,Sheet6!H:H)</f>
        <v>20</v>
      </c>
      <c r="T158" s="8">
        <f>_xlfn.XLOOKUP($A158,Sheet6!$B:$B,Sheet6!I:I)</f>
        <v>0</v>
      </c>
      <c r="U158" s="9">
        <f>_xlfn.XLOOKUP($A158,Sheet6!$B:$B,Sheet6!J:J)</f>
        <v>0</v>
      </c>
      <c r="V158" s="8">
        <f>_xlfn.XLOOKUP($A158,Sheet7!$B:$B,Sheet7!H:H)</f>
        <v>0</v>
      </c>
      <c r="W158" s="8">
        <f>_xlfn.XLOOKUP($A158,Sheet7!$B:$B,Sheet7!I:I)</f>
        <v>30</v>
      </c>
      <c r="X158" s="8">
        <f>_xlfn.XLOOKUP($A158,Sheet7!$B:$B,Sheet7!J:J)</f>
        <v>0</v>
      </c>
      <c r="Y158" s="8">
        <f>_xlfn.XLOOKUP($A158,Sheet8!$B:$B,Sheet8!H:H)</f>
        <v>20</v>
      </c>
      <c r="Z158" s="8">
        <f>_xlfn.XLOOKUP($A158,Sheet8!$B:$B,Sheet8!I:I)</f>
        <v>0</v>
      </c>
      <c r="AA158" s="9">
        <f>_xlfn.XLOOKUP($A158,Sheet8!$B:$B,Sheet8!J:J)</f>
        <v>0</v>
      </c>
      <c r="AB158" s="6">
        <f>_xlfn.XLOOKUP($A158,Sheet1!$B:$B,Sheet1!G:G,0)+_xlfn.XLOOKUP($A158,Sheet2!$B:$B,Sheet2!G:G,0)</f>
        <v>49</v>
      </c>
      <c r="AC158" s="6">
        <f>_xlfn.XLOOKUP($A158,Sheet3!$B:$B,Sheet3!G:G,0)+_xlfn.XLOOKUP($A158,Sheet4!$B:$B,Sheet4!G:G,0)</f>
        <v>186</v>
      </c>
      <c r="AD158" s="6">
        <f>_xlfn.XLOOKUP($A158,Sheet5!$B:$B,Sheet5!G:G,0)+_xlfn.XLOOKUP($A158,Sheet6!$B:$B,Sheet6!G:G,0)</f>
        <v>112</v>
      </c>
      <c r="AE158" s="6">
        <f>_xlfn.XLOOKUP($A158,Sheet7!$B:$B,Sheet7!G:G,0)+_xlfn.XLOOKUP($A158,Sheet8!$B:$B,Sheet8!G:G,0)</f>
        <v>50</v>
      </c>
      <c r="AF158" s="6" cm="1">
        <f t="array" ref="AF158">SUM(IFERROR(AB158:AE158,0))</f>
        <v>397</v>
      </c>
      <c r="AG158" s="6">
        <f t="shared" si="2"/>
        <v>155</v>
      </c>
    </row>
    <row r="159" spans="1:33" ht="15.6" x14ac:dyDescent="0.3">
      <c r="A159" s="6" t="s">
        <v>138</v>
      </c>
      <c r="B159" s="6" t="str">
        <f>_xlfn.XLOOKUP($A159,Sheet3!$B:$B,Sheet3!D:D)</f>
        <v>杭州市第二中学</v>
      </c>
      <c r="C159" s="7" t="str">
        <f>_xlfn.XLOOKUP($A159,Sheet3!$B:$B,Sheet3!E:E)</f>
        <v>周以山</v>
      </c>
      <c r="D159" s="6">
        <f>_xlfn.XLOOKUP($A159,Sheet1!$B:$B,Sheet1!H:H)</f>
        <v>100</v>
      </c>
      <c r="E159" s="6">
        <f>_xlfn.XLOOKUP($A159,Sheet1!$B:$B,Sheet1!I:I)</f>
        <v>27</v>
      </c>
      <c r="F159" s="6">
        <f>_xlfn.XLOOKUP($A159,Sheet1!$B:$B,Sheet1!J:J)</f>
        <v>18</v>
      </c>
      <c r="G159" s="6">
        <f>_xlfn.XLOOKUP($A159,Sheet2!$B:$B,Sheet2!H:H)</f>
        <v>0</v>
      </c>
      <c r="H159" s="6">
        <f>_xlfn.XLOOKUP($A159,Sheet2!$B:$B,Sheet2!I:I)</f>
        <v>0</v>
      </c>
      <c r="I159" s="7">
        <f>_xlfn.XLOOKUP($A159,Sheet2!$B:$B,Sheet2!J:J)</f>
        <v>0</v>
      </c>
      <c r="J159" s="8">
        <f>_xlfn.XLOOKUP($A159,Sheet3!$B:$B,Sheet3!H:H)</f>
        <v>100</v>
      </c>
      <c r="K159" s="8">
        <f>_xlfn.XLOOKUP($A159,Sheet3!$B:$B,Sheet3!I:I)</f>
        <v>100</v>
      </c>
      <c r="L159" s="8">
        <f>_xlfn.XLOOKUP($A159,Sheet3!$B:$B,Sheet3!J:J)</f>
        <v>30</v>
      </c>
      <c r="M159" s="8">
        <f>_xlfn.XLOOKUP($A159,Sheet4!$B:$B,Sheet4!H:H)</f>
        <v>0</v>
      </c>
      <c r="N159" s="8">
        <f>_xlfn.XLOOKUP($A159,Sheet4!$B:$B,Sheet4!I:I)</f>
        <v>10</v>
      </c>
      <c r="O159" s="9">
        <f>_xlfn.XLOOKUP($A159,Sheet4!$B:$B,Sheet4!J:J)</f>
        <v>0</v>
      </c>
      <c r="P159" s="8">
        <f>_xlfn.XLOOKUP($A159,Sheet5!$B:$B,Sheet5!H:H)</f>
        <v>0</v>
      </c>
      <c r="Q159" s="8">
        <f>_xlfn.XLOOKUP($A159,Sheet5!$B:$B,Sheet5!I:I)</f>
        <v>0</v>
      </c>
      <c r="R159" s="8">
        <f>_xlfn.XLOOKUP($A159,Sheet5!$B:$B,Sheet5!J:J)</f>
        <v>0</v>
      </c>
      <c r="S159" s="8">
        <f>_xlfn.XLOOKUP($A159,Sheet6!$B:$B,Sheet6!H:H)</f>
        <v>0</v>
      </c>
      <c r="T159" s="8">
        <f>_xlfn.XLOOKUP($A159,Sheet6!$B:$B,Sheet6!I:I)</f>
        <v>0</v>
      </c>
      <c r="U159" s="9">
        <f>_xlfn.XLOOKUP($A159,Sheet6!$B:$B,Sheet6!J:J)</f>
        <v>0</v>
      </c>
      <c r="V159" s="8" t="e">
        <f>_xlfn.XLOOKUP($A159,Sheet7!$B:$B,Sheet7!H:H)</f>
        <v>#N/A</v>
      </c>
      <c r="W159" s="8" t="e">
        <f>_xlfn.XLOOKUP($A159,Sheet7!$B:$B,Sheet7!I:I)</f>
        <v>#N/A</v>
      </c>
      <c r="X159" s="8" t="e">
        <f>_xlfn.XLOOKUP($A159,Sheet7!$B:$B,Sheet7!J:J)</f>
        <v>#N/A</v>
      </c>
      <c r="Y159" s="8" t="e">
        <f>_xlfn.XLOOKUP($A159,Sheet8!$B:$B,Sheet8!H:H)</f>
        <v>#N/A</v>
      </c>
      <c r="Z159" s="8" t="e">
        <f>_xlfn.XLOOKUP($A159,Sheet8!$B:$B,Sheet8!I:I)</f>
        <v>#N/A</v>
      </c>
      <c r="AA159" s="9" t="e">
        <f>_xlfn.XLOOKUP($A159,Sheet8!$B:$B,Sheet8!J:J)</f>
        <v>#N/A</v>
      </c>
      <c r="AB159" s="6">
        <f>_xlfn.XLOOKUP($A159,Sheet1!$B:$B,Sheet1!G:G,0)+_xlfn.XLOOKUP($A159,Sheet2!$B:$B,Sheet2!G:G,0)</f>
        <v>145</v>
      </c>
      <c r="AC159" s="6">
        <f>_xlfn.XLOOKUP($A159,Sheet3!$B:$B,Sheet3!G:G,0)+_xlfn.XLOOKUP($A159,Sheet4!$B:$B,Sheet4!G:G,0)</f>
        <v>240</v>
      </c>
      <c r="AD159" s="6">
        <f>_xlfn.XLOOKUP($A159,Sheet5!$B:$B,Sheet5!G:G,0)+_xlfn.XLOOKUP($A159,Sheet6!$B:$B,Sheet6!G:G,0)</f>
        <v>0</v>
      </c>
      <c r="AE159" s="6">
        <f>_xlfn.XLOOKUP($A159,Sheet7!$B:$B,Sheet7!G:G,0)+_xlfn.XLOOKUP($A159,Sheet8!$B:$B,Sheet8!G:G,0)</f>
        <v>0</v>
      </c>
      <c r="AF159" s="6" cm="1">
        <f t="array" ref="AF159">SUM(IFERROR(AB159:AE159,0))</f>
        <v>385</v>
      </c>
      <c r="AG159" s="6">
        <f t="shared" si="2"/>
        <v>156</v>
      </c>
    </row>
    <row r="160" spans="1:33" ht="15.6" x14ac:dyDescent="0.3">
      <c r="A160" s="6" t="s">
        <v>397</v>
      </c>
      <c r="B160" s="6" t="str">
        <f>_xlfn.XLOOKUP($A160,Sheet3!$B:$B,Sheet3!D:D)</f>
        <v>广东实验中学</v>
      </c>
      <c r="C160" s="7" t="str">
        <f>_xlfn.XLOOKUP($A160,Sheet3!$B:$B,Sheet3!E:E)</f>
        <v>马致迅</v>
      </c>
      <c r="D160" s="6">
        <f>_xlfn.XLOOKUP($A160,Sheet1!$B:$B,Sheet1!H:H)</f>
        <v>0</v>
      </c>
      <c r="E160" s="6">
        <f>_xlfn.XLOOKUP($A160,Sheet1!$B:$B,Sheet1!I:I)</f>
        <v>27</v>
      </c>
      <c r="F160" s="6">
        <f>_xlfn.XLOOKUP($A160,Sheet1!$B:$B,Sheet1!J:J)</f>
        <v>0</v>
      </c>
      <c r="G160" s="6">
        <f>_xlfn.XLOOKUP($A160,Sheet2!$B:$B,Sheet2!H:H)</f>
        <v>100</v>
      </c>
      <c r="H160" s="6">
        <f>_xlfn.XLOOKUP($A160,Sheet2!$B:$B,Sheet2!I:I)</f>
        <v>0</v>
      </c>
      <c r="I160" s="7">
        <f>_xlfn.XLOOKUP($A160,Sheet2!$B:$B,Sheet2!J:J)</f>
        <v>13</v>
      </c>
      <c r="J160" s="8">
        <f>_xlfn.XLOOKUP($A160,Sheet3!$B:$B,Sheet3!H:H)</f>
        <v>100</v>
      </c>
      <c r="K160" s="8">
        <f>_xlfn.XLOOKUP($A160,Sheet3!$B:$B,Sheet3!I:I)</f>
        <v>100</v>
      </c>
      <c r="L160" s="8">
        <f>_xlfn.XLOOKUP($A160,Sheet3!$B:$B,Sheet3!J:J)</f>
        <v>20</v>
      </c>
      <c r="M160" s="8" t="e">
        <f>_xlfn.XLOOKUP($A160,Sheet4!$B:$B,Sheet4!H:H)</f>
        <v>#N/A</v>
      </c>
      <c r="N160" s="8" t="e">
        <f>_xlfn.XLOOKUP($A160,Sheet4!$B:$B,Sheet4!I:I)</f>
        <v>#N/A</v>
      </c>
      <c r="O160" s="9" t="e">
        <f>_xlfn.XLOOKUP($A160,Sheet4!$B:$B,Sheet4!J:J)</f>
        <v>#N/A</v>
      </c>
      <c r="P160" s="8" t="e">
        <f>_xlfn.XLOOKUP($A160,Sheet5!$B:$B,Sheet5!H:H)</f>
        <v>#N/A</v>
      </c>
      <c r="Q160" s="8" t="e">
        <f>_xlfn.XLOOKUP($A160,Sheet5!$B:$B,Sheet5!I:I)</f>
        <v>#N/A</v>
      </c>
      <c r="R160" s="8" t="e">
        <f>_xlfn.XLOOKUP($A160,Sheet5!$B:$B,Sheet5!J:J)</f>
        <v>#N/A</v>
      </c>
      <c r="S160" s="8" t="e">
        <f>_xlfn.XLOOKUP($A160,Sheet6!$B:$B,Sheet6!H:H)</f>
        <v>#N/A</v>
      </c>
      <c r="T160" s="8" t="e">
        <f>_xlfn.XLOOKUP($A160,Sheet6!$B:$B,Sheet6!I:I)</f>
        <v>#N/A</v>
      </c>
      <c r="U160" s="9" t="e">
        <f>_xlfn.XLOOKUP($A160,Sheet6!$B:$B,Sheet6!J:J)</f>
        <v>#N/A</v>
      </c>
      <c r="V160" s="8" t="e">
        <f>_xlfn.XLOOKUP($A160,Sheet7!$B:$B,Sheet7!H:H)</f>
        <v>#N/A</v>
      </c>
      <c r="W160" s="8" t="e">
        <f>_xlfn.XLOOKUP($A160,Sheet7!$B:$B,Sheet7!I:I)</f>
        <v>#N/A</v>
      </c>
      <c r="X160" s="8" t="e">
        <f>_xlfn.XLOOKUP($A160,Sheet7!$B:$B,Sheet7!J:J)</f>
        <v>#N/A</v>
      </c>
      <c r="Y160" s="8" t="e">
        <f>_xlfn.XLOOKUP($A160,Sheet8!$B:$B,Sheet8!H:H)</f>
        <v>#N/A</v>
      </c>
      <c r="Z160" s="8" t="e">
        <f>_xlfn.XLOOKUP($A160,Sheet8!$B:$B,Sheet8!I:I)</f>
        <v>#N/A</v>
      </c>
      <c r="AA160" s="9" t="e">
        <f>_xlfn.XLOOKUP($A160,Sheet8!$B:$B,Sheet8!J:J)</f>
        <v>#N/A</v>
      </c>
      <c r="AB160" s="6">
        <f>_xlfn.XLOOKUP($A160,Sheet1!$B:$B,Sheet1!G:G,0)+_xlfn.XLOOKUP($A160,Sheet2!$B:$B,Sheet2!G:G,0)</f>
        <v>140</v>
      </c>
      <c r="AC160" s="6">
        <f>_xlfn.XLOOKUP($A160,Sheet3!$B:$B,Sheet3!G:G,0)+_xlfn.XLOOKUP($A160,Sheet4!$B:$B,Sheet4!G:G,0)</f>
        <v>220</v>
      </c>
      <c r="AD160" s="6">
        <f>_xlfn.XLOOKUP($A160,Sheet5!$B:$B,Sheet5!G:G,0)+_xlfn.XLOOKUP($A160,Sheet6!$B:$B,Sheet6!G:G,0)</f>
        <v>0</v>
      </c>
      <c r="AE160" s="6">
        <f>_xlfn.XLOOKUP($A160,Sheet7!$B:$B,Sheet7!G:G,0)+_xlfn.XLOOKUP($A160,Sheet8!$B:$B,Sheet8!G:G,0)</f>
        <v>0</v>
      </c>
      <c r="AF160" s="6" cm="1">
        <f t="array" ref="AF160">SUM(IFERROR(AB160:AE160,0))</f>
        <v>360</v>
      </c>
      <c r="AG160" s="6">
        <f t="shared" si="2"/>
        <v>157</v>
      </c>
    </row>
    <row r="161" spans="1:33" ht="15.6" x14ac:dyDescent="0.3">
      <c r="A161" s="6" t="s">
        <v>332</v>
      </c>
      <c r="B161" s="6" t="str">
        <f>_xlfn.XLOOKUP($A161,Sheet3!$B:$B,Sheet3!D:D)</f>
        <v>杭州市第二中学</v>
      </c>
      <c r="C161" s="7" t="str">
        <f>_xlfn.XLOOKUP($A161,Sheet3!$B:$B,Sheet3!E:E)</f>
        <v>桂阳熠</v>
      </c>
      <c r="D161" s="6">
        <f>_xlfn.XLOOKUP($A161,Sheet1!$B:$B,Sheet1!H:H)</f>
        <v>12</v>
      </c>
      <c r="E161" s="6">
        <f>_xlfn.XLOOKUP($A161,Sheet1!$B:$B,Sheet1!I:I)</f>
        <v>27</v>
      </c>
      <c r="F161" s="6">
        <f>_xlfn.XLOOKUP($A161,Sheet1!$B:$B,Sheet1!J:J)</f>
        <v>7</v>
      </c>
      <c r="G161" s="6">
        <f>_xlfn.XLOOKUP($A161,Sheet2!$B:$B,Sheet2!H:H)</f>
        <v>100</v>
      </c>
      <c r="H161" s="6">
        <f>_xlfn.XLOOKUP($A161,Sheet2!$B:$B,Sheet2!I:I)</f>
        <v>32</v>
      </c>
      <c r="I161" s="7">
        <f>_xlfn.XLOOKUP($A161,Sheet2!$B:$B,Sheet2!J:J)</f>
        <v>12</v>
      </c>
      <c r="J161" s="8">
        <f>_xlfn.XLOOKUP($A161,Sheet3!$B:$B,Sheet3!H:H)</f>
        <v>77</v>
      </c>
      <c r="K161" s="8">
        <f>_xlfn.XLOOKUP($A161,Sheet3!$B:$B,Sheet3!I:I)</f>
        <v>40</v>
      </c>
      <c r="L161" s="8">
        <f>_xlfn.XLOOKUP($A161,Sheet3!$B:$B,Sheet3!J:J)</f>
        <v>40</v>
      </c>
      <c r="M161" s="8" t="e">
        <f>_xlfn.XLOOKUP($A161,Sheet4!$B:$B,Sheet4!H:H)</f>
        <v>#N/A</v>
      </c>
      <c r="N161" s="8" t="e">
        <f>_xlfn.XLOOKUP($A161,Sheet4!$B:$B,Sheet4!I:I)</f>
        <v>#N/A</v>
      </c>
      <c r="O161" s="9" t="e">
        <f>_xlfn.XLOOKUP($A161,Sheet4!$B:$B,Sheet4!J:J)</f>
        <v>#N/A</v>
      </c>
      <c r="P161" s="8" t="e">
        <f>_xlfn.XLOOKUP($A161,Sheet5!$B:$B,Sheet5!H:H)</f>
        <v>#N/A</v>
      </c>
      <c r="Q161" s="8" t="e">
        <f>_xlfn.XLOOKUP($A161,Sheet5!$B:$B,Sheet5!I:I)</f>
        <v>#N/A</v>
      </c>
      <c r="R161" s="8" t="e">
        <f>_xlfn.XLOOKUP($A161,Sheet5!$B:$B,Sheet5!J:J)</f>
        <v>#N/A</v>
      </c>
      <c r="S161" s="8" t="e">
        <f>_xlfn.XLOOKUP($A161,Sheet6!$B:$B,Sheet6!H:H)</f>
        <v>#N/A</v>
      </c>
      <c r="T161" s="8" t="e">
        <f>_xlfn.XLOOKUP($A161,Sheet6!$B:$B,Sheet6!I:I)</f>
        <v>#N/A</v>
      </c>
      <c r="U161" s="9" t="e">
        <f>_xlfn.XLOOKUP($A161,Sheet6!$B:$B,Sheet6!J:J)</f>
        <v>#N/A</v>
      </c>
      <c r="V161" s="8" t="e">
        <f>_xlfn.XLOOKUP($A161,Sheet7!$B:$B,Sheet7!H:H)</f>
        <v>#N/A</v>
      </c>
      <c r="W161" s="8" t="e">
        <f>_xlfn.XLOOKUP($A161,Sheet7!$B:$B,Sheet7!I:I)</f>
        <v>#N/A</v>
      </c>
      <c r="X161" s="8" t="e">
        <f>_xlfn.XLOOKUP($A161,Sheet7!$B:$B,Sheet7!J:J)</f>
        <v>#N/A</v>
      </c>
      <c r="Y161" s="8" t="e">
        <f>_xlfn.XLOOKUP($A161,Sheet8!$B:$B,Sheet8!H:H)</f>
        <v>#N/A</v>
      </c>
      <c r="Z161" s="8" t="e">
        <f>_xlfn.XLOOKUP($A161,Sheet8!$B:$B,Sheet8!I:I)</f>
        <v>#N/A</v>
      </c>
      <c r="AA161" s="9" t="e">
        <f>_xlfn.XLOOKUP($A161,Sheet8!$B:$B,Sheet8!J:J)</f>
        <v>#N/A</v>
      </c>
      <c r="AB161" s="6">
        <f>_xlfn.XLOOKUP($A161,Sheet1!$B:$B,Sheet1!G:G,0)+_xlfn.XLOOKUP($A161,Sheet2!$B:$B,Sheet2!G:G,0)</f>
        <v>190</v>
      </c>
      <c r="AC161" s="6">
        <f>_xlfn.XLOOKUP($A161,Sheet3!$B:$B,Sheet3!G:G,0)+_xlfn.XLOOKUP($A161,Sheet4!$B:$B,Sheet4!G:G,0)</f>
        <v>157</v>
      </c>
      <c r="AD161" s="6">
        <f>_xlfn.XLOOKUP($A161,Sheet5!$B:$B,Sheet5!G:G,0)+_xlfn.XLOOKUP($A161,Sheet6!$B:$B,Sheet6!G:G,0)</f>
        <v>0</v>
      </c>
      <c r="AE161" s="6">
        <f>_xlfn.XLOOKUP($A161,Sheet7!$B:$B,Sheet7!G:G,0)+_xlfn.XLOOKUP($A161,Sheet8!$B:$B,Sheet8!G:G,0)</f>
        <v>0</v>
      </c>
      <c r="AF161" s="6" cm="1">
        <f t="array" ref="AF161">SUM(IFERROR(AB161:AE161,0))</f>
        <v>347</v>
      </c>
      <c r="AG161" s="6">
        <f t="shared" si="2"/>
        <v>158</v>
      </c>
    </row>
    <row r="162" spans="1:33" ht="15.6" x14ac:dyDescent="0.3">
      <c r="A162" s="6" t="s">
        <v>550</v>
      </c>
      <c r="B162" s="6" t="str">
        <f>_xlfn.XLOOKUP($A162,Sheet3!$B:$B,Sheet3!D:D)</f>
        <v>安徽师范大学附属中学</v>
      </c>
      <c r="C162" s="7" t="str">
        <f>_xlfn.XLOOKUP($A162,Sheet3!$B:$B,Sheet3!E:E)</f>
        <v>孙梓珊</v>
      </c>
      <c r="D162" s="6" t="e">
        <f>_xlfn.XLOOKUP($A162,Sheet1!$B:$B,Sheet1!H:H)</f>
        <v>#N/A</v>
      </c>
      <c r="E162" s="6" t="e">
        <f>_xlfn.XLOOKUP($A162,Sheet1!$B:$B,Sheet1!I:I)</f>
        <v>#N/A</v>
      </c>
      <c r="F162" s="6" t="e">
        <f>_xlfn.XLOOKUP($A162,Sheet1!$B:$B,Sheet1!J:J)</f>
        <v>#N/A</v>
      </c>
      <c r="G162" s="6">
        <f>_xlfn.XLOOKUP($A162,Sheet2!$B:$B,Sheet2!H:H)</f>
        <v>25</v>
      </c>
      <c r="H162" s="6">
        <f>_xlfn.XLOOKUP($A162,Sheet2!$B:$B,Sheet2!I:I)</f>
        <v>0</v>
      </c>
      <c r="I162" s="7">
        <f>_xlfn.XLOOKUP($A162,Sheet2!$B:$B,Sheet2!J:J)</f>
        <v>12</v>
      </c>
      <c r="J162" s="8">
        <f>_xlfn.XLOOKUP($A162,Sheet3!$B:$B,Sheet3!H:H)</f>
        <v>53</v>
      </c>
      <c r="K162" s="8">
        <f>_xlfn.XLOOKUP($A162,Sheet3!$B:$B,Sheet3!I:I)</f>
        <v>0</v>
      </c>
      <c r="L162" s="8">
        <f>_xlfn.XLOOKUP($A162,Sheet3!$B:$B,Sheet3!J:J)</f>
        <v>0</v>
      </c>
      <c r="M162" s="8">
        <f>_xlfn.XLOOKUP($A162,Sheet4!$B:$B,Sheet4!H:H)</f>
        <v>60</v>
      </c>
      <c r="N162" s="8">
        <f>_xlfn.XLOOKUP($A162,Sheet4!$B:$B,Sheet4!I:I)</f>
        <v>0</v>
      </c>
      <c r="O162" s="9">
        <f>_xlfn.XLOOKUP($A162,Sheet4!$B:$B,Sheet4!J:J)</f>
        <v>1</v>
      </c>
      <c r="P162" s="8">
        <f>_xlfn.XLOOKUP($A162,Sheet5!$B:$B,Sheet5!H:H)</f>
        <v>0</v>
      </c>
      <c r="Q162" s="8">
        <f>_xlfn.XLOOKUP($A162,Sheet5!$B:$B,Sheet5!I:I)</f>
        <v>0</v>
      </c>
      <c r="R162" s="8">
        <f>_xlfn.XLOOKUP($A162,Sheet5!$B:$B,Sheet5!J:J)</f>
        <v>0</v>
      </c>
      <c r="S162" s="8">
        <f>_xlfn.XLOOKUP($A162,Sheet6!$B:$B,Sheet6!H:H)</f>
        <v>100</v>
      </c>
      <c r="T162" s="8">
        <f>_xlfn.XLOOKUP($A162,Sheet6!$B:$B,Sheet6!I:I)</f>
        <v>0</v>
      </c>
      <c r="U162" s="9">
        <f>_xlfn.XLOOKUP($A162,Sheet6!$B:$B,Sheet6!J:J)</f>
        <v>0</v>
      </c>
      <c r="V162" s="8">
        <f>_xlfn.XLOOKUP($A162,Sheet7!$B:$B,Sheet7!H:H)</f>
        <v>25</v>
      </c>
      <c r="W162" s="8">
        <f>_xlfn.XLOOKUP($A162,Sheet7!$B:$B,Sheet7!I:I)</f>
        <v>0</v>
      </c>
      <c r="X162" s="8">
        <f>_xlfn.XLOOKUP($A162,Sheet7!$B:$B,Sheet7!J:J)</f>
        <v>0</v>
      </c>
      <c r="Y162" s="8">
        <f>_xlfn.XLOOKUP($A162,Sheet8!$B:$B,Sheet8!H:H)</f>
        <v>70</v>
      </c>
      <c r="Z162" s="8">
        <f>_xlfn.XLOOKUP($A162,Sheet8!$B:$B,Sheet8!I:I)</f>
        <v>0</v>
      </c>
      <c r="AA162" s="9">
        <f>_xlfn.XLOOKUP($A162,Sheet8!$B:$B,Sheet8!J:J)</f>
        <v>0</v>
      </c>
      <c r="AB162" s="6">
        <f>_xlfn.XLOOKUP($A162,Sheet1!$B:$B,Sheet1!G:G,0)+_xlfn.XLOOKUP($A162,Sheet2!$B:$B,Sheet2!G:G,0)</f>
        <v>37</v>
      </c>
      <c r="AC162" s="6">
        <f>_xlfn.XLOOKUP($A162,Sheet3!$B:$B,Sheet3!G:G,0)+_xlfn.XLOOKUP($A162,Sheet4!$B:$B,Sheet4!G:G,0)</f>
        <v>114</v>
      </c>
      <c r="AD162" s="6">
        <f>_xlfn.XLOOKUP($A162,Sheet5!$B:$B,Sheet5!G:G,0)+_xlfn.XLOOKUP($A162,Sheet6!$B:$B,Sheet6!G:G,0)</f>
        <v>100</v>
      </c>
      <c r="AE162" s="6">
        <f>_xlfn.XLOOKUP($A162,Sheet7!$B:$B,Sheet7!G:G,0)+_xlfn.XLOOKUP($A162,Sheet8!$B:$B,Sheet8!G:G,0)</f>
        <v>95</v>
      </c>
      <c r="AF162" s="6" cm="1">
        <f t="array" ref="AF162">SUM(IFERROR(AB162:AE162,0))</f>
        <v>346</v>
      </c>
      <c r="AG162" s="6">
        <f t="shared" si="2"/>
        <v>159</v>
      </c>
    </row>
    <row r="163" spans="1:33" ht="15.6" x14ac:dyDescent="0.3">
      <c r="A163" s="6" t="s">
        <v>469</v>
      </c>
      <c r="B163" s="6" t="str">
        <f>_xlfn.XLOOKUP($A163,Sheet3!$B:$B,Sheet3!D:D)</f>
        <v>贵阳市华师一学校</v>
      </c>
      <c r="C163" s="7" t="str">
        <f>_xlfn.XLOOKUP($A163,Sheet3!$B:$B,Sheet3!E:E)</f>
        <v>孙宇宸</v>
      </c>
      <c r="D163" s="6">
        <f>_xlfn.XLOOKUP($A163,Sheet1!$B:$B,Sheet1!H:H)</f>
        <v>18</v>
      </c>
      <c r="E163" s="6">
        <f>_xlfn.XLOOKUP($A163,Sheet1!$B:$B,Sheet1!I:I)</f>
        <v>0</v>
      </c>
      <c r="F163" s="6">
        <f>_xlfn.XLOOKUP($A163,Sheet1!$B:$B,Sheet1!J:J)</f>
        <v>0</v>
      </c>
      <c r="G163" s="6">
        <f>_xlfn.XLOOKUP($A163,Sheet2!$B:$B,Sheet2!H:H)</f>
        <v>35</v>
      </c>
      <c r="H163" s="6">
        <f>_xlfn.XLOOKUP($A163,Sheet2!$B:$B,Sheet2!I:I)</f>
        <v>0</v>
      </c>
      <c r="I163" s="7">
        <f>_xlfn.XLOOKUP($A163,Sheet2!$B:$B,Sheet2!J:J)</f>
        <v>0</v>
      </c>
      <c r="J163" s="8">
        <f>_xlfn.XLOOKUP($A163,Sheet3!$B:$B,Sheet3!H:H)</f>
        <v>21</v>
      </c>
      <c r="K163" s="8">
        <f>_xlfn.XLOOKUP($A163,Sheet3!$B:$B,Sheet3!I:I)</f>
        <v>20</v>
      </c>
      <c r="L163" s="8">
        <f>_xlfn.XLOOKUP($A163,Sheet3!$B:$B,Sheet3!J:J)</f>
        <v>20</v>
      </c>
      <c r="M163" s="8">
        <f>_xlfn.XLOOKUP($A163,Sheet4!$B:$B,Sheet4!H:H)</f>
        <v>20</v>
      </c>
      <c r="N163" s="8">
        <f>_xlfn.XLOOKUP($A163,Sheet4!$B:$B,Sheet4!I:I)</f>
        <v>0</v>
      </c>
      <c r="O163" s="9">
        <f>_xlfn.XLOOKUP($A163,Sheet4!$B:$B,Sheet4!J:J)</f>
        <v>0</v>
      </c>
      <c r="P163" s="8">
        <f>_xlfn.XLOOKUP($A163,Sheet5!$B:$B,Sheet5!H:H)</f>
        <v>30</v>
      </c>
      <c r="Q163" s="8">
        <f>_xlfn.XLOOKUP($A163,Sheet5!$B:$B,Sheet5!I:I)</f>
        <v>0</v>
      </c>
      <c r="R163" s="8">
        <f>_xlfn.XLOOKUP($A163,Sheet5!$B:$B,Sheet5!J:J)</f>
        <v>0</v>
      </c>
      <c r="S163" s="8">
        <f>_xlfn.XLOOKUP($A163,Sheet6!$B:$B,Sheet6!H:H)</f>
        <v>20</v>
      </c>
      <c r="T163" s="8">
        <f>_xlfn.XLOOKUP($A163,Sheet6!$B:$B,Sheet6!I:I)</f>
        <v>100</v>
      </c>
      <c r="U163" s="9">
        <f>_xlfn.XLOOKUP($A163,Sheet6!$B:$B,Sheet6!J:J)</f>
        <v>8</v>
      </c>
      <c r="V163" s="8">
        <f>_xlfn.XLOOKUP($A163,Sheet7!$B:$B,Sheet7!H:H)</f>
        <v>15</v>
      </c>
      <c r="W163" s="8">
        <f>_xlfn.XLOOKUP($A163,Sheet7!$B:$B,Sheet7!I:I)</f>
        <v>10</v>
      </c>
      <c r="X163" s="8">
        <f>_xlfn.XLOOKUP($A163,Sheet7!$B:$B,Sheet7!J:J)</f>
        <v>0</v>
      </c>
      <c r="Y163" s="8">
        <f>_xlfn.XLOOKUP($A163,Sheet8!$B:$B,Sheet8!H:H)</f>
        <v>25</v>
      </c>
      <c r="Z163" s="8">
        <f>_xlfn.XLOOKUP($A163,Sheet8!$B:$B,Sheet8!I:I)</f>
        <v>0</v>
      </c>
      <c r="AA163" s="9">
        <f>_xlfn.XLOOKUP($A163,Sheet8!$B:$B,Sheet8!J:J)</f>
        <v>0</v>
      </c>
      <c r="AB163" s="6">
        <f>_xlfn.XLOOKUP($A163,Sheet1!$B:$B,Sheet1!G:G,0)+_xlfn.XLOOKUP($A163,Sheet2!$B:$B,Sheet2!G:G,0)</f>
        <v>53</v>
      </c>
      <c r="AC163" s="6">
        <f>_xlfn.XLOOKUP($A163,Sheet3!$B:$B,Sheet3!G:G,0)+_xlfn.XLOOKUP($A163,Sheet4!$B:$B,Sheet4!G:G,0)</f>
        <v>81</v>
      </c>
      <c r="AD163" s="6">
        <f>_xlfn.XLOOKUP($A163,Sheet5!$B:$B,Sheet5!G:G,0)+_xlfn.XLOOKUP($A163,Sheet6!$B:$B,Sheet6!G:G,0)</f>
        <v>158</v>
      </c>
      <c r="AE163" s="6">
        <f>_xlfn.XLOOKUP($A163,Sheet7!$B:$B,Sheet7!G:G,0)+_xlfn.XLOOKUP($A163,Sheet8!$B:$B,Sheet8!G:G,0)</f>
        <v>50</v>
      </c>
      <c r="AF163" s="6" cm="1">
        <f t="array" ref="AF163">SUM(IFERROR(AB163:AE163,0))</f>
        <v>342</v>
      </c>
      <c r="AG163" s="6">
        <f t="shared" si="2"/>
        <v>160</v>
      </c>
    </row>
    <row r="164" spans="1:33" ht="15.6" x14ac:dyDescent="0.3">
      <c r="A164" s="6" t="s">
        <v>516</v>
      </c>
      <c r="B164" s="6" t="str">
        <f>_xlfn.XLOOKUP($A164,Sheet3!$B:$B,Sheet3!D:D)</f>
        <v>东莞市东莞中学松山湖学校</v>
      </c>
      <c r="C164" s="7" t="str">
        <f>_xlfn.XLOOKUP($A164,Sheet3!$B:$B,Sheet3!E:E)</f>
        <v>萧泽安</v>
      </c>
      <c r="D164" s="6">
        <f>_xlfn.XLOOKUP($A164,Sheet1!$B:$B,Sheet1!H:H)</f>
        <v>0</v>
      </c>
      <c r="E164" s="6">
        <f>_xlfn.XLOOKUP($A164,Sheet1!$B:$B,Sheet1!I:I)</f>
        <v>0</v>
      </c>
      <c r="F164" s="6">
        <f>_xlfn.XLOOKUP($A164,Sheet1!$B:$B,Sheet1!J:J)</f>
        <v>0</v>
      </c>
      <c r="G164" s="6" t="e">
        <f>_xlfn.XLOOKUP($A164,Sheet2!$B:$B,Sheet2!H:H)</f>
        <v>#N/A</v>
      </c>
      <c r="H164" s="6" t="e">
        <f>_xlfn.XLOOKUP($A164,Sheet2!$B:$B,Sheet2!I:I)</f>
        <v>#N/A</v>
      </c>
      <c r="I164" s="7" t="e">
        <f>_xlfn.XLOOKUP($A164,Sheet2!$B:$B,Sheet2!J:J)</f>
        <v>#N/A</v>
      </c>
      <c r="J164" s="8">
        <f>_xlfn.XLOOKUP($A164,Sheet3!$B:$B,Sheet3!H:H)</f>
        <v>100</v>
      </c>
      <c r="K164" s="8">
        <f>_xlfn.XLOOKUP($A164,Sheet3!$B:$B,Sheet3!I:I)</f>
        <v>20</v>
      </c>
      <c r="L164" s="8">
        <f>_xlfn.XLOOKUP($A164,Sheet3!$B:$B,Sheet3!J:J)</f>
        <v>0</v>
      </c>
      <c r="M164" s="8">
        <f>_xlfn.XLOOKUP($A164,Sheet4!$B:$B,Sheet4!H:H)</f>
        <v>30</v>
      </c>
      <c r="N164" s="8">
        <f>_xlfn.XLOOKUP($A164,Sheet4!$B:$B,Sheet4!I:I)</f>
        <v>0</v>
      </c>
      <c r="O164" s="9">
        <f>_xlfn.XLOOKUP($A164,Sheet4!$B:$B,Sheet4!J:J)</f>
        <v>1</v>
      </c>
      <c r="P164" s="8">
        <f>_xlfn.XLOOKUP($A164,Sheet5!$B:$B,Sheet5!H:H)</f>
        <v>35</v>
      </c>
      <c r="Q164" s="8">
        <f>_xlfn.XLOOKUP($A164,Sheet5!$B:$B,Sheet5!I:I)</f>
        <v>0</v>
      </c>
      <c r="R164" s="8">
        <f>_xlfn.XLOOKUP($A164,Sheet5!$B:$B,Sheet5!J:J)</f>
        <v>0</v>
      </c>
      <c r="S164" s="8">
        <f>_xlfn.XLOOKUP($A164,Sheet6!$B:$B,Sheet6!H:H)</f>
        <v>100</v>
      </c>
      <c r="T164" s="8">
        <f>_xlfn.XLOOKUP($A164,Sheet6!$B:$B,Sheet6!I:I)</f>
        <v>0</v>
      </c>
      <c r="U164" s="9">
        <f>_xlfn.XLOOKUP($A164,Sheet6!$B:$B,Sheet6!J:J)</f>
        <v>0</v>
      </c>
      <c r="V164" s="8">
        <f>_xlfn.XLOOKUP($A164,Sheet7!$B:$B,Sheet7!H:H)</f>
        <v>30</v>
      </c>
      <c r="W164" s="8">
        <f>_xlfn.XLOOKUP($A164,Sheet7!$B:$B,Sheet7!I:I)</f>
        <v>0</v>
      </c>
      <c r="X164" s="8">
        <f>_xlfn.XLOOKUP($A164,Sheet7!$B:$B,Sheet7!J:J)</f>
        <v>0</v>
      </c>
      <c r="Y164" s="8">
        <f>_xlfn.XLOOKUP($A164,Sheet8!$B:$B,Sheet8!H:H)</f>
        <v>0</v>
      </c>
      <c r="Z164" s="8">
        <f>_xlfn.XLOOKUP($A164,Sheet8!$B:$B,Sheet8!I:I)</f>
        <v>0</v>
      </c>
      <c r="AA164" s="9">
        <f>_xlfn.XLOOKUP($A164,Sheet8!$B:$B,Sheet8!J:J)</f>
        <v>0</v>
      </c>
      <c r="AB164" s="6">
        <f>_xlfn.XLOOKUP($A164,Sheet1!$B:$B,Sheet1!G:G,0)+_xlfn.XLOOKUP($A164,Sheet2!$B:$B,Sheet2!G:G,0)</f>
        <v>0</v>
      </c>
      <c r="AC164" s="6">
        <f>_xlfn.XLOOKUP($A164,Sheet3!$B:$B,Sheet3!G:G,0)+_xlfn.XLOOKUP($A164,Sheet4!$B:$B,Sheet4!G:G,0)</f>
        <v>151</v>
      </c>
      <c r="AD164" s="6">
        <f>_xlfn.XLOOKUP($A164,Sheet5!$B:$B,Sheet5!G:G,0)+_xlfn.XLOOKUP($A164,Sheet6!$B:$B,Sheet6!G:G,0)</f>
        <v>135</v>
      </c>
      <c r="AE164" s="6">
        <f>_xlfn.XLOOKUP($A164,Sheet7!$B:$B,Sheet7!G:G,0)+_xlfn.XLOOKUP($A164,Sheet8!$B:$B,Sheet8!G:G,0)</f>
        <v>30</v>
      </c>
      <c r="AF164" s="6" cm="1">
        <f t="array" ref="AF164">SUM(IFERROR(AB164:AE164,0))</f>
        <v>316</v>
      </c>
      <c r="AG164" s="6">
        <f t="shared" si="2"/>
        <v>161</v>
      </c>
    </row>
    <row r="165" spans="1:33" ht="15.6" x14ac:dyDescent="0.3">
      <c r="A165" s="6" t="s">
        <v>504</v>
      </c>
      <c r="B165" s="6" t="str">
        <f>_xlfn.XLOOKUP($A165,Sheet3!$B:$B,Sheet3!D:D)</f>
        <v>中山市中山纪念中学</v>
      </c>
      <c r="C165" s="7" t="str">
        <f>_xlfn.XLOOKUP($A165,Sheet3!$B:$B,Sheet3!E:E)</f>
        <v>王逸文</v>
      </c>
      <c r="D165" s="6">
        <f>_xlfn.XLOOKUP($A165,Sheet1!$B:$B,Sheet1!H:H)</f>
        <v>0</v>
      </c>
      <c r="E165" s="6">
        <f>_xlfn.XLOOKUP($A165,Sheet1!$B:$B,Sheet1!I:I)</f>
        <v>0</v>
      </c>
      <c r="F165" s="6">
        <f>_xlfn.XLOOKUP($A165,Sheet1!$B:$B,Sheet1!J:J)</f>
        <v>0</v>
      </c>
      <c r="G165" s="6">
        <f>_xlfn.XLOOKUP($A165,Sheet2!$B:$B,Sheet2!H:H)</f>
        <v>0</v>
      </c>
      <c r="H165" s="6">
        <f>_xlfn.XLOOKUP($A165,Sheet2!$B:$B,Sheet2!I:I)</f>
        <v>0</v>
      </c>
      <c r="I165" s="7">
        <f>_xlfn.XLOOKUP($A165,Sheet2!$B:$B,Sheet2!J:J)</f>
        <v>12</v>
      </c>
      <c r="J165" s="8">
        <f>_xlfn.XLOOKUP($A165,Sheet3!$B:$B,Sheet3!H:H)</f>
        <v>48</v>
      </c>
      <c r="K165" s="8">
        <f>_xlfn.XLOOKUP($A165,Sheet3!$B:$B,Sheet3!I:I)</f>
        <v>40</v>
      </c>
      <c r="L165" s="8">
        <f>_xlfn.XLOOKUP($A165,Sheet3!$B:$B,Sheet3!J:J)</f>
        <v>0</v>
      </c>
      <c r="M165" s="8">
        <f>_xlfn.XLOOKUP($A165,Sheet4!$B:$B,Sheet4!H:H)</f>
        <v>10</v>
      </c>
      <c r="N165" s="8">
        <f>_xlfn.XLOOKUP($A165,Sheet4!$B:$B,Sheet4!I:I)</f>
        <v>0</v>
      </c>
      <c r="O165" s="9">
        <f>_xlfn.XLOOKUP($A165,Sheet4!$B:$B,Sheet4!J:J)</f>
        <v>1</v>
      </c>
      <c r="P165" s="8">
        <f>_xlfn.XLOOKUP($A165,Sheet5!$B:$B,Sheet5!H:H)</f>
        <v>55</v>
      </c>
      <c r="Q165" s="8">
        <f>_xlfn.XLOOKUP($A165,Sheet5!$B:$B,Sheet5!I:I)</f>
        <v>0</v>
      </c>
      <c r="R165" s="8">
        <f>_xlfn.XLOOKUP($A165,Sheet5!$B:$B,Sheet5!J:J)</f>
        <v>0</v>
      </c>
      <c r="S165" s="8">
        <f>_xlfn.XLOOKUP($A165,Sheet6!$B:$B,Sheet6!H:H)</f>
        <v>20</v>
      </c>
      <c r="T165" s="8">
        <f>_xlfn.XLOOKUP($A165,Sheet6!$B:$B,Sheet6!I:I)</f>
        <v>36</v>
      </c>
      <c r="U165" s="9">
        <f>_xlfn.XLOOKUP($A165,Sheet6!$B:$B,Sheet6!J:J)</f>
        <v>8</v>
      </c>
      <c r="V165" s="8">
        <f>_xlfn.XLOOKUP($A165,Sheet7!$B:$B,Sheet7!H:H)</f>
        <v>15</v>
      </c>
      <c r="W165" s="8">
        <f>_xlfn.XLOOKUP($A165,Sheet7!$B:$B,Sheet7!I:I)</f>
        <v>10</v>
      </c>
      <c r="X165" s="8">
        <f>_xlfn.XLOOKUP($A165,Sheet7!$B:$B,Sheet7!J:J)</f>
        <v>0</v>
      </c>
      <c r="Y165" s="8">
        <f>_xlfn.XLOOKUP($A165,Sheet8!$B:$B,Sheet8!H:H)</f>
        <v>0</v>
      </c>
      <c r="Z165" s="8">
        <f>_xlfn.XLOOKUP($A165,Sheet8!$B:$B,Sheet8!I:I)</f>
        <v>0</v>
      </c>
      <c r="AA165" s="9">
        <f>_xlfn.XLOOKUP($A165,Sheet8!$B:$B,Sheet8!J:J)</f>
        <v>0</v>
      </c>
      <c r="AB165" s="6">
        <f>_xlfn.XLOOKUP($A165,Sheet1!$B:$B,Sheet1!G:G,0)+_xlfn.XLOOKUP($A165,Sheet2!$B:$B,Sheet2!G:G,0)</f>
        <v>12</v>
      </c>
      <c r="AC165" s="6">
        <f>_xlfn.XLOOKUP($A165,Sheet3!$B:$B,Sheet3!G:G,0)+_xlfn.XLOOKUP($A165,Sheet4!$B:$B,Sheet4!G:G,0)</f>
        <v>99</v>
      </c>
      <c r="AD165" s="6">
        <f>_xlfn.XLOOKUP($A165,Sheet5!$B:$B,Sheet5!G:G,0)+_xlfn.XLOOKUP($A165,Sheet6!$B:$B,Sheet6!G:G,0)</f>
        <v>119</v>
      </c>
      <c r="AE165" s="6">
        <f>_xlfn.XLOOKUP($A165,Sheet7!$B:$B,Sheet7!G:G,0)+_xlfn.XLOOKUP($A165,Sheet8!$B:$B,Sheet8!G:G,0)</f>
        <v>25</v>
      </c>
      <c r="AF165" s="6" cm="1">
        <f t="array" ref="AF165">SUM(IFERROR(AB165:AE165,0))</f>
        <v>255</v>
      </c>
      <c r="AG165" s="6">
        <f t="shared" si="2"/>
        <v>162</v>
      </c>
    </row>
    <row r="166" spans="1:33" ht="15.6" x14ac:dyDescent="0.3">
      <c r="A166" s="6" t="s">
        <v>348</v>
      </c>
      <c r="B166" s="6" t="str">
        <f>_xlfn.XLOOKUP($A166,Sheet1!$B:$B,Sheet1!D:D)</f>
        <v>广州大学附属中学</v>
      </c>
      <c r="C166" s="7" t="str">
        <f>_xlfn.XLOOKUP($A166,Sheet1!$B:$B,Sheet1!E:E)</f>
        <v>何盛哲</v>
      </c>
      <c r="D166" s="6">
        <f>_xlfn.XLOOKUP($A166,Sheet1!$B:$B,Sheet1!H:H)</f>
        <v>0</v>
      </c>
      <c r="E166" s="6">
        <f>_xlfn.XLOOKUP($A166,Sheet1!$B:$B,Sheet1!I:I)</f>
        <v>42</v>
      </c>
      <c r="F166" s="6">
        <f>_xlfn.XLOOKUP($A166,Sheet1!$B:$B,Sheet1!J:J)</f>
        <v>0</v>
      </c>
      <c r="G166" s="6">
        <f>_xlfn.XLOOKUP($A166,Sheet2!$B:$B,Sheet2!H:H)</f>
        <v>0</v>
      </c>
      <c r="H166" s="6">
        <f>_xlfn.XLOOKUP($A166,Sheet2!$B:$B,Sheet2!I:I)</f>
        <v>0</v>
      </c>
      <c r="I166" s="7">
        <f>_xlfn.XLOOKUP($A166,Sheet2!$B:$B,Sheet2!J:J)</f>
        <v>0</v>
      </c>
      <c r="J166" s="8" t="e">
        <f>_xlfn.XLOOKUP($A166,Sheet3!$B:$B,Sheet3!H:H)</f>
        <v>#N/A</v>
      </c>
      <c r="K166" s="8" t="e">
        <f>_xlfn.XLOOKUP($A166,Sheet3!$B:$B,Sheet3!I:I)</f>
        <v>#N/A</v>
      </c>
      <c r="L166" s="8" t="e">
        <f>_xlfn.XLOOKUP($A166,Sheet3!$B:$B,Sheet3!J:J)</f>
        <v>#N/A</v>
      </c>
      <c r="M166" s="8">
        <f>_xlfn.XLOOKUP($A166,Sheet4!$B:$B,Sheet4!H:H)</f>
        <v>0</v>
      </c>
      <c r="N166" s="8">
        <f>_xlfn.XLOOKUP($A166,Sheet4!$B:$B,Sheet4!I:I)</f>
        <v>0</v>
      </c>
      <c r="O166" s="9">
        <f>_xlfn.XLOOKUP($A166,Sheet4!$B:$B,Sheet4!J:J)</f>
        <v>0</v>
      </c>
      <c r="P166" s="8" t="e">
        <f>_xlfn.XLOOKUP($A166,Sheet5!$B:$B,Sheet5!H:H)</f>
        <v>#N/A</v>
      </c>
      <c r="Q166" s="8" t="e">
        <f>_xlfn.XLOOKUP($A166,Sheet5!$B:$B,Sheet5!I:I)</f>
        <v>#N/A</v>
      </c>
      <c r="R166" s="8" t="e">
        <f>_xlfn.XLOOKUP($A166,Sheet5!$B:$B,Sheet5!J:J)</f>
        <v>#N/A</v>
      </c>
      <c r="S166" s="8" t="e">
        <f>_xlfn.XLOOKUP($A166,Sheet6!$B:$B,Sheet6!H:H)</f>
        <v>#N/A</v>
      </c>
      <c r="T166" s="8" t="e">
        <f>_xlfn.XLOOKUP($A166,Sheet6!$B:$B,Sheet6!I:I)</f>
        <v>#N/A</v>
      </c>
      <c r="U166" s="9" t="e">
        <f>_xlfn.XLOOKUP($A166,Sheet6!$B:$B,Sheet6!J:J)</f>
        <v>#N/A</v>
      </c>
      <c r="V166" s="8">
        <f>_xlfn.XLOOKUP($A166,Sheet7!$B:$B,Sheet7!H:H)</f>
        <v>100</v>
      </c>
      <c r="W166" s="8">
        <f>_xlfn.XLOOKUP($A166,Sheet7!$B:$B,Sheet7!I:I)</f>
        <v>0</v>
      </c>
      <c r="X166" s="8">
        <f>_xlfn.XLOOKUP($A166,Sheet7!$B:$B,Sheet7!J:J)</f>
        <v>0</v>
      </c>
      <c r="Y166" s="8">
        <f>_xlfn.XLOOKUP($A166,Sheet8!$B:$B,Sheet8!H:H)</f>
        <v>100</v>
      </c>
      <c r="Z166" s="8">
        <f>_xlfn.XLOOKUP($A166,Sheet8!$B:$B,Sheet8!I:I)</f>
        <v>0</v>
      </c>
      <c r="AA166" s="9">
        <f>_xlfn.XLOOKUP($A166,Sheet8!$B:$B,Sheet8!J:J)</f>
        <v>0</v>
      </c>
      <c r="AB166" s="6">
        <f>_xlfn.XLOOKUP($A166,Sheet1!$B:$B,Sheet1!G:G,0)+_xlfn.XLOOKUP($A166,Sheet2!$B:$B,Sheet2!G:G,0)</f>
        <v>42</v>
      </c>
      <c r="AC166" s="6">
        <f>_xlfn.XLOOKUP($A166,Sheet3!$B:$B,Sheet3!G:G,0)+_xlfn.XLOOKUP($A166,Sheet4!$B:$B,Sheet4!G:G,0)</f>
        <v>0</v>
      </c>
      <c r="AD166" s="6">
        <f>_xlfn.XLOOKUP($A166,Sheet5!$B:$B,Sheet5!G:G,0)+_xlfn.XLOOKUP($A166,Sheet6!$B:$B,Sheet6!G:G,0)</f>
        <v>0</v>
      </c>
      <c r="AE166" s="6">
        <f>_xlfn.XLOOKUP($A166,Sheet7!$B:$B,Sheet7!G:G,0)+_xlfn.XLOOKUP($A166,Sheet8!$B:$B,Sheet8!G:G,0)</f>
        <v>200</v>
      </c>
      <c r="AF166" s="6" cm="1">
        <f t="array" ref="AF166">SUM(IFERROR(AB166:AE166,0))</f>
        <v>242</v>
      </c>
      <c r="AG166" s="6">
        <f t="shared" si="2"/>
        <v>163</v>
      </c>
    </row>
    <row r="167" spans="1:33" x14ac:dyDescent="0.3"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D167" s="10"/>
      <c r="AE167" s="10"/>
    </row>
    <row r="168" spans="1:33" x14ac:dyDescent="0.3"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D168" s="10"/>
      <c r="AE168" s="10"/>
    </row>
    <row r="169" spans="1:33" x14ac:dyDescent="0.3"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D169" s="10"/>
      <c r="AE169" s="10"/>
    </row>
    <row r="170" spans="1:33" x14ac:dyDescent="0.3"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D170" s="10"/>
      <c r="AE170" s="10"/>
    </row>
    <row r="171" spans="1:33" x14ac:dyDescent="0.3"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D171" s="10"/>
      <c r="AE171" s="10"/>
    </row>
    <row r="172" spans="1:33" x14ac:dyDescent="0.3"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D172" s="10"/>
      <c r="AE172" s="10"/>
    </row>
    <row r="173" spans="1:33" x14ac:dyDescent="0.3"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D173" s="10"/>
      <c r="AE173" s="10"/>
    </row>
    <row r="174" spans="1:33" x14ac:dyDescent="0.3"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D174" s="10"/>
      <c r="AE174" s="10"/>
    </row>
    <row r="175" spans="1:33" x14ac:dyDescent="0.3"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D175" s="10"/>
      <c r="AE175" s="10"/>
    </row>
    <row r="176" spans="1:33" x14ac:dyDescent="0.3"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D176" s="10"/>
      <c r="AE176" s="10"/>
    </row>
    <row r="177" spans="10:31" x14ac:dyDescent="0.3"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D177" s="10"/>
      <c r="AE177" s="10"/>
    </row>
    <row r="178" spans="10:31" x14ac:dyDescent="0.3"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D178" s="10"/>
      <c r="AE178" s="10"/>
    </row>
    <row r="179" spans="10:31" x14ac:dyDescent="0.3"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D179" s="10"/>
      <c r="AE179" s="10"/>
    </row>
    <row r="180" spans="10:31" x14ac:dyDescent="0.3"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D180" s="10"/>
      <c r="AE180" s="10"/>
    </row>
    <row r="181" spans="10:31" x14ac:dyDescent="0.3"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D181" s="10"/>
      <c r="AE181" s="10"/>
    </row>
    <row r="182" spans="10:31" x14ac:dyDescent="0.3"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D182" s="10"/>
      <c r="AE182" s="10"/>
    </row>
    <row r="183" spans="10:31" x14ac:dyDescent="0.3"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D183" s="10"/>
      <c r="AE183" s="10"/>
    </row>
    <row r="184" spans="10:31" x14ac:dyDescent="0.3"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D184" s="10"/>
      <c r="AE184" s="10"/>
    </row>
    <row r="185" spans="10:31" x14ac:dyDescent="0.3"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D185" s="10"/>
      <c r="AE185" s="10"/>
    </row>
    <row r="186" spans="10:31" x14ac:dyDescent="0.3"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D186" s="10"/>
      <c r="AE186" s="10"/>
    </row>
    <row r="187" spans="10:31" x14ac:dyDescent="0.3"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D187" s="10"/>
      <c r="AE187" s="10"/>
    </row>
    <row r="188" spans="10:31" x14ac:dyDescent="0.3"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D188" s="10"/>
      <c r="AE188" s="10"/>
    </row>
    <row r="189" spans="10:31" x14ac:dyDescent="0.3"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D189" s="10"/>
      <c r="AE189" s="10"/>
    </row>
    <row r="190" spans="10:31" x14ac:dyDescent="0.3"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D190" s="10"/>
      <c r="AE190" s="10"/>
    </row>
    <row r="191" spans="10:31" x14ac:dyDescent="0.3"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D191" s="10"/>
      <c r="AE191" s="10"/>
    </row>
    <row r="192" spans="10:31" x14ac:dyDescent="0.3"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D192" s="10"/>
      <c r="AE192" s="10"/>
    </row>
    <row r="193" spans="10:31" x14ac:dyDescent="0.3"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D193" s="10"/>
      <c r="AE193" s="10"/>
    </row>
    <row r="194" spans="10:31" x14ac:dyDescent="0.3"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D194" s="10"/>
      <c r="AE194" s="10"/>
    </row>
    <row r="195" spans="10:31" x14ac:dyDescent="0.3"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D195" s="10"/>
      <c r="AE195" s="10"/>
    </row>
    <row r="196" spans="10:31" x14ac:dyDescent="0.3"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D196" s="10"/>
      <c r="AE196" s="10"/>
    </row>
    <row r="197" spans="10:31" x14ac:dyDescent="0.3"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D197" s="10"/>
      <c r="AE197" s="10"/>
    </row>
    <row r="198" spans="10:31" x14ac:dyDescent="0.3"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D198" s="10"/>
      <c r="AE198" s="10"/>
    </row>
    <row r="199" spans="10:31" x14ac:dyDescent="0.3"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D199" s="10"/>
      <c r="AE199" s="10"/>
    </row>
    <row r="200" spans="10:31" x14ac:dyDescent="0.3"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D200" s="10"/>
      <c r="AE200" s="10"/>
    </row>
    <row r="201" spans="10:31" x14ac:dyDescent="0.3"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D201" s="10"/>
      <c r="AE201" s="10"/>
    </row>
    <row r="202" spans="10:31" x14ac:dyDescent="0.3"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D202" s="10"/>
      <c r="AE202" s="10"/>
    </row>
    <row r="203" spans="10:31" x14ac:dyDescent="0.3"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D203" s="10"/>
      <c r="AE203" s="10"/>
    </row>
    <row r="204" spans="10:31" x14ac:dyDescent="0.3"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D204" s="10"/>
      <c r="AE204" s="10"/>
    </row>
    <row r="205" spans="10:31" x14ac:dyDescent="0.3"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D205" s="10"/>
      <c r="AE205" s="10"/>
    </row>
    <row r="206" spans="10:31" x14ac:dyDescent="0.3"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D206" s="10"/>
      <c r="AE206" s="10"/>
    </row>
    <row r="207" spans="10:31" x14ac:dyDescent="0.3"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D207" s="10"/>
      <c r="AE207" s="10"/>
    </row>
    <row r="208" spans="10:31" x14ac:dyDescent="0.3"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D208" s="10"/>
      <c r="AE208" s="10"/>
    </row>
    <row r="209" spans="10:31" x14ac:dyDescent="0.3"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D209" s="10"/>
      <c r="AE209" s="10"/>
    </row>
    <row r="210" spans="10:31" x14ac:dyDescent="0.3"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D210" s="10"/>
      <c r="AE210" s="10"/>
    </row>
    <row r="211" spans="10:31" x14ac:dyDescent="0.3"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D211" s="10"/>
      <c r="AE211" s="10"/>
    </row>
    <row r="212" spans="10:31" x14ac:dyDescent="0.3"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D212" s="10"/>
      <c r="AE212" s="10"/>
    </row>
    <row r="213" spans="10:31" x14ac:dyDescent="0.3"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D213" s="10"/>
      <c r="AE213" s="10"/>
    </row>
    <row r="214" spans="10:31" x14ac:dyDescent="0.3"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D214" s="10"/>
      <c r="AE214" s="10"/>
    </row>
    <row r="215" spans="10:31" x14ac:dyDescent="0.3"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D215" s="10"/>
      <c r="AE215" s="10"/>
    </row>
    <row r="216" spans="10:31" x14ac:dyDescent="0.3"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D216" s="10"/>
      <c r="AE216" s="10"/>
    </row>
    <row r="217" spans="10:31" x14ac:dyDescent="0.3"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D217" s="10"/>
      <c r="AE217" s="10"/>
    </row>
    <row r="218" spans="10:31" x14ac:dyDescent="0.3"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D218" s="10"/>
      <c r="AE218" s="10"/>
    </row>
    <row r="219" spans="10:31" x14ac:dyDescent="0.3"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D219" s="10"/>
      <c r="AE219" s="10"/>
    </row>
    <row r="220" spans="10:31" x14ac:dyDescent="0.3"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D220" s="10"/>
      <c r="AE220" s="10"/>
    </row>
    <row r="221" spans="10:31" x14ac:dyDescent="0.3"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D221" s="10"/>
      <c r="AE221" s="10"/>
    </row>
    <row r="222" spans="10:31" x14ac:dyDescent="0.3"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D222" s="10"/>
      <c r="AE222" s="10"/>
    </row>
    <row r="223" spans="10:31" x14ac:dyDescent="0.3"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D223" s="10"/>
      <c r="AE223" s="10"/>
    </row>
    <row r="224" spans="10:31" x14ac:dyDescent="0.3"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D224" s="10"/>
      <c r="AE224" s="10"/>
    </row>
    <row r="225" spans="10:31" x14ac:dyDescent="0.3"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D225" s="10"/>
      <c r="AE225" s="10"/>
    </row>
    <row r="226" spans="10:31" x14ac:dyDescent="0.3"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D226" s="10"/>
      <c r="AE226" s="10"/>
    </row>
    <row r="227" spans="10:31" x14ac:dyDescent="0.3"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D227" s="10"/>
      <c r="AE227" s="10"/>
    </row>
    <row r="228" spans="10:31" x14ac:dyDescent="0.3"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D228" s="10"/>
      <c r="AE228" s="10"/>
    </row>
    <row r="229" spans="10:31" x14ac:dyDescent="0.3"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D229" s="10"/>
      <c r="AE229" s="10"/>
    </row>
    <row r="230" spans="10:31" x14ac:dyDescent="0.3"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D230" s="10"/>
      <c r="AE230" s="10"/>
    </row>
    <row r="231" spans="10:31" x14ac:dyDescent="0.3"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D231" s="10"/>
      <c r="AE231" s="10"/>
    </row>
    <row r="232" spans="10:31" x14ac:dyDescent="0.3"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D232" s="10"/>
      <c r="AE232" s="10"/>
    </row>
    <row r="233" spans="10:31" x14ac:dyDescent="0.3"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D233" s="10"/>
      <c r="AE233" s="10"/>
    </row>
    <row r="234" spans="10:31" x14ac:dyDescent="0.3"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D234" s="10"/>
      <c r="AE234" s="10"/>
    </row>
    <row r="235" spans="10:31" x14ac:dyDescent="0.3"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D235" s="10"/>
      <c r="AE235" s="10"/>
    </row>
    <row r="236" spans="10:31" x14ac:dyDescent="0.3"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D236" s="10"/>
      <c r="AE236" s="10"/>
    </row>
    <row r="237" spans="10:31" x14ac:dyDescent="0.3"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D237" s="10"/>
      <c r="AE237" s="10"/>
    </row>
    <row r="238" spans="10:31" x14ac:dyDescent="0.3"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D238" s="10"/>
      <c r="AE238" s="10"/>
    </row>
    <row r="239" spans="10:31" x14ac:dyDescent="0.3"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D239" s="10"/>
      <c r="AE239" s="10"/>
    </row>
    <row r="240" spans="10:31" x14ac:dyDescent="0.3"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D240" s="10"/>
      <c r="AE240" s="10"/>
    </row>
    <row r="241" spans="10:31" x14ac:dyDescent="0.3"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D241" s="10"/>
      <c r="AE241" s="10"/>
    </row>
    <row r="242" spans="10:31" x14ac:dyDescent="0.3"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D242" s="10"/>
      <c r="AE242" s="10"/>
    </row>
    <row r="243" spans="10:31" x14ac:dyDescent="0.3"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D243" s="10"/>
      <c r="AE243" s="10"/>
    </row>
    <row r="244" spans="10:31" x14ac:dyDescent="0.3"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D244" s="10"/>
      <c r="AE244" s="10"/>
    </row>
    <row r="245" spans="10:31" x14ac:dyDescent="0.3"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D245" s="10"/>
      <c r="AE245" s="10"/>
    </row>
    <row r="246" spans="10:31" x14ac:dyDescent="0.3"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D246" s="10"/>
      <c r="AE246" s="10"/>
    </row>
    <row r="247" spans="10:31" x14ac:dyDescent="0.3"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D247" s="10"/>
      <c r="AE247" s="10"/>
    </row>
    <row r="248" spans="10:31" x14ac:dyDescent="0.3"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D248" s="10"/>
      <c r="AE248" s="10"/>
    </row>
    <row r="249" spans="10:31" x14ac:dyDescent="0.3"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D249" s="10"/>
      <c r="AE249" s="10"/>
    </row>
    <row r="250" spans="10:31" x14ac:dyDescent="0.3"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D250" s="10"/>
      <c r="AE250" s="10"/>
    </row>
    <row r="251" spans="10:31" x14ac:dyDescent="0.3"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D251" s="10"/>
      <c r="AE251" s="10"/>
    </row>
    <row r="252" spans="10:31" x14ac:dyDescent="0.3"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D252" s="10"/>
      <c r="AE252" s="10"/>
    </row>
    <row r="253" spans="10:31" x14ac:dyDescent="0.3"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D253" s="10"/>
      <c r="AE253" s="10"/>
    </row>
    <row r="254" spans="10:31" x14ac:dyDescent="0.3"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D254" s="10"/>
      <c r="AE254" s="10"/>
    </row>
    <row r="255" spans="10:31" x14ac:dyDescent="0.3"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D255" s="10"/>
      <c r="AE255" s="10"/>
    </row>
    <row r="256" spans="10:31" x14ac:dyDescent="0.3"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D256" s="10"/>
      <c r="AE256" s="10"/>
    </row>
  </sheetData>
  <sortState xmlns:xlrd2="http://schemas.microsoft.com/office/spreadsheetml/2017/richdata2" ref="A4:AG166">
    <sortCondition ref="AF4:AF166"/>
  </sortState>
  <mergeCells count="21">
    <mergeCell ref="A1:A3"/>
    <mergeCell ref="B1:B3"/>
    <mergeCell ref="C1:C3"/>
    <mergeCell ref="D1:I1"/>
    <mergeCell ref="J1:O1"/>
    <mergeCell ref="AE1:AE3"/>
    <mergeCell ref="AF1:AF3"/>
    <mergeCell ref="AG1:AG3"/>
    <mergeCell ref="D2:F2"/>
    <mergeCell ref="G2:I2"/>
    <mergeCell ref="J2:L2"/>
    <mergeCell ref="M2:O2"/>
    <mergeCell ref="P2:R2"/>
    <mergeCell ref="S2:U2"/>
    <mergeCell ref="V2:X2"/>
    <mergeCell ref="Y2:AA2"/>
    <mergeCell ref="P1:U1"/>
    <mergeCell ref="V1:AA1"/>
    <mergeCell ref="AB1:AB3"/>
    <mergeCell ref="AC1:AC3"/>
    <mergeCell ref="AD1:AD3"/>
  </mergeCells>
  <conditionalFormatting sqref="D1:D2 H1:I2 J1:J2 M1:M2 K1:L2 N1:O2 E1:F2 G1:G2 P1:P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 Z1:AA1048576 H1:I1048576 J1:J1048576 M1:M1048576 K1:L1048576 N1:O1048576 E1:F1048576 G1:G1048576 P1:P1048576 S1:S1048576 Q1:R1048576 T1:U1048576 W1:X1048576 V1:V1048576 Y1:Y1048576 AM3:AM4 BI3:BJ4 AQ3:AR4 AS3:AS4 AV3:AV4 AT3:AU4 AW3:AX4 AN3:AO4 AP3:AP4 AY3:AY4 BB3:BB4 AZ3:BA4 BC3:BD4 BF3:BG4 BE3:BE4 BH3:BH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 AM3:AM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2 R1:S2 U1:V2 X1:Y2 W1:W2 Z1:Z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B1048576 BK3:BK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{00BF0053-0098-45CF-A640-00360051007A}</x14:id>
        </ext>
      </extLst>
    </cfRule>
  </conditionalFormatting>
  <conditionalFormatting sqref="AB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{00520005-003F-4BAB-B20E-003C00D700F3}</x14:id>
        </ext>
      </extLst>
    </cfRule>
  </conditionalFormatting>
  <conditionalFormatting sqref="AC1:AC1048576 BL3:BL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{005000BE-005B-46AD-899B-009E00AE00A7}</x14:id>
        </ext>
      </extLst>
    </cfRule>
  </conditionalFormatting>
  <conditionalFormatting sqref="AC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{003300EB-0023-45FF-B1C2-006400A400EE}</x14:id>
        </ext>
      </extLst>
    </cfRule>
  </conditionalFormatting>
  <conditionalFormatting sqref="AC167:AC104857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{008000A8-00E3-4B12-8037-001B00A40041}</x14:id>
        </ext>
      </extLst>
    </cfRule>
  </conditionalFormatting>
  <conditionalFormatting sqref="AC4:AF16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{00A00003-00D4-4D72-908B-003800950003}</x14:id>
        </ext>
      </extLst>
    </cfRule>
  </conditionalFormatting>
  <conditionalFormatting sqref="AD1:AD1048576 BM3:BM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{00730068-003B-4D66-9AD6-000500BE0034}</x14:id>
        </ext>
      </extLst>
    </cfRule>
  </conditionalFormatting>
  <conditionalFormatting sqref="AD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{00F600BA-008C-4F2B-98FF-002300F000E1}</x14:id>
        </ext>
      </extLst>
    </cfRule>
  </conditionalFormatting>
  <conditionalFormatting sqref="AD167:AD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{003D009C-00DD-4CC3-9063-008000BD00D5}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{003E0080-00EF-4CC9-B751-005A006500BC}</x14:id>
        </ext>
      </extLst>
    </cfRule>
  </conditionalFormatting>
  <conditionalFormatting sqref="AE1:AE1048576 BN3:BN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{0076009E-005E-4773-9262-0049002E00CB}</x14:id>
        </ext>
      </extLst>
    </cfRule>
  </conditionalFormatting>
  <conditionalFormatting sqref="AE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{005400A4-00DF-4961-9D65-0040000300BA}</x14:id>
        </ext>
      </extLst>
    </cfRule>
  </conditionalFormatting>
  <conditionalFormatting sqref="AE167:AE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{00AC00BD-00FE-456B-9E53-00AB00D2002E}</x14:id>
        </ext>
      </extLst>
    </cfRule>
  </conditionalFormatting>
  <conditionalFormatting sqref="AF167:AF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{00780035-00A8-4BBC-BFAC-00FF00D800A3}</x14:id>
        </ext>
      </extLst>
    </cfRule>
  </conditionalFormatting>
  <conditionalFormatting sqref="AG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{00540014-0045-467F-98D7-00C50090000D}</x14:id>
        </ext>
      </extLst>
    </cfRule>
  </conditionalFormatting>
  <pageMargins left="0.70078740157480324" right="0.70078740157480324" top="0.75196850393700787" bottom="0.75196850393700787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BF0053-0098-45CF-A640-00360051007A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AB1:AB1048576 BK3:BK4</xm:sqref>
        </x14:conditionalFormatting>
        <x14:conditionalFormatting xmlns:xm="http://schemas.microsoft.com/office/excel/2006/main">
          <x14:cfRule type="dataBar" id="{00520005-003F-4BAB-B20E-003C00D700F3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AB3</xm:sqref>
        </x14:conditionalFormatting>
        <x14:conditionalFormatting xmlns:xm="http://schemas.microsoft.com/office/excel/2006/main">
          <x14:cfRule type="dataBar" id="{005000BE-005B-46AD-899B-009E00AE00A7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AC1:AC1048576 BL3:BL4</xm:sqref>
        </x14:conditionalFormatting>
        <x14:conditionalFormatting xmlns:xm="http://schemas.microsoft.com/office/excel/2006/main">
          <x14:cfRule type="dataBar" id="{003300EB-0023-45FF-B1C2-006400A400EE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AC3</xm:sqref>
        </x14:conditionalFormatting>
        <x14:conditionalFormatting xmlns:xm="http://schemas.microsoft.com/office/excel/2006/main">
          <x14:cfRule type="dataBar" id="{008000A8-00E3-4B12-8037-001B00A40041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AC167:AC1048576</xm:sqref>
        </x14:conditionalFormatting>
        <x14:conditionalFormatting xmlns:xm="http://schemas.microsoft.com/office/excel/2006/main">
          <x14:cfRule type="dataBar" id="{00A00003-00D4-4D72-908B-003800950003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AC4:AF166</xm:sqref>
        </x14:conditionalFormatting>
        <x14:conditionalFormatting xmlns:xm="http://schemas.microsoft.com/office/excel/2006/main">
          <x14:cfRule type="dataBar" id="{00730068-003B-4D66-9AD6-000500BE0034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AD1:AD1048576 BM3:BM4</xm:sqref>
        </x14:conditionalFormatting>
        <x14:conditionalFormatting xmlns:xm="http://schemas.microsoft.com/office/excel/2006/main">
          <x14:cfRule type="dataBar" id="{00F600BA-008C-4F2B-98FF-002300F000E1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AD3</xm:sqref>
        </x14:conditionalFormatting>
        <x14:conditionalFormatting xmlns:xm="http://schemas.microsoft.com/office/excel/2006/main">
          <x14:cfRule type="dataBar" id="{003D009C-00DD-4CC3-9063-008000BD00D5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14:cfRule type="dataBar" id="{003E0080-00EF-4CC9-B751-005A0065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indexed="2"/>
              <x14:negativeBorderColor indexed="2"/>
              <x14:axisColor indexed="64"/>
            </x14:dataBar>
          </x14:cfRule>
          <xm:sqref>AD167:AD1048576</xm:sqref>
        </x14:conditionalFormatting>
        <x14:conditionalFormatting xmlns:xm="http://schemas.microsoft.com/office/excel/2006/main">
          <x14:cfRule type="dataBar" id="{0076009E-005E-4773-9262-0049002E00CB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AE1:AE1048576 BN3:BN4</xm:sqref>
        </x14:conditionalFormatting>
        <x14:conditionalFormatting xmlns:xm="http://schemas.microsoft.com/office/excel/2006/main">
          <x14:cfRule type="dataBar" id="{005400A4-00DF-4961-9D65-0040000300BA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AE3</xm:sqref>
        </x14:conditionalFormatting>
        <x14:conditionalFormatting xmlns:xm="http://schemas.microsoft.com/office/excel/2006/main">
          <x14:cfRule type="dataBar" id="{00AC00BD-00FE-456B-9E53-00AB00D2002E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AE167:AE1048576</xm:sqref>
        </x14:conditionalFormatting>
        <x14:conditionalFormatting xmlns:xm="http://schemas.microsoft.com/office/excel/2006/main">
          <x14:cfRule type="dataBar" id="{00780035-00A8-4BBC-BFAC-00FF00D800A3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AF167:AF1048576</xm:sqref>
        </x14:conditionalFormatting>
        <x14:conditionalFormatting xmlns:xm="http://schemas.microsoft.com/office/excel/2006/main">
          <x14:cfRule type="dataBar" id="{00540014-0045-467F-98D7-00C50090000D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AG3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斯垚 张</cp:lastModifiedBy>
  <cp:revision>2</cp:revision>
  <dcterms:modified xsi:type="dcterms:W3CDTF">2026-05-23T13:58:07Z</dcterms:modified>
</cp:coreProperties>
</file>